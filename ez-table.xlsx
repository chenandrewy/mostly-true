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chen1678/Library/CloudStorage/Dropbox/Mostly-True/paper/exhibits/"/>
    </mc:Choice>
  </mc:AlternateContent>
  <xr:revisionPtr revIDLastSave="0" documentId="13_ncr:1_{D9903878-B533-B646-AF86-9DEBC27DF653}" xr6:coauthVersionLast="47" xr6:coauthVersionMax="47" xr10:uidLastSave="{00000000-0000-0000-0000-000000000000}"/>
  <bookViews>
    <workbookView xWindow="40960" yWindow="-1780" windowWidth="38400" windowHeight="20940" activeTab="9" xr2:uid="{00000000-000D-0000-FFFF-FFFF00000000}"/>
  </bookViews>
  <sheets>
    <sheet name="sim-dm" sheetId="1" r:id="rId1"/>
    <sheet name="sim-extrap" sheetId="6" r:id="rId2"/>
    <sheet name="sim-extrap-alt" sheetId="7" r:id="rId3"/>
    <sheet name="post-truth old" sheetId="8" r:id="rId4"/>
    <sheet name="truth-table" sheetId="9" r:id="rId5"/>
    <sheet name="plugin-dm" sheetId="10" r:id="rId6"/>
    <sheet name="plugin-extrap" sheetId="11" r:id="rId7"/>
    <sheet name="ez-combined-old" sheetId="12" r:id="rId8"/>
    <sheet name="Excel2LaTeX" sheetId="14" state="hidden" r:id="rId9"/>
    <sheet name="ez-combined" sheetId="13" r:id="rId10"/>
    <sheet name="ez-combined (2)" sheetId="1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7" i="15" l="1"/>
  <c r="F25" i="15"/>
  <c r="F23" i="15"/>
  <c r="F21" i="15"/>
  <c r="F19" i="15"/>
  <c r="F17" i="15"/>
  <c r="F10" i="15"/>
  <c r="F8" i="15"/>
  <c r="F5" i="15"/>
  <c r="F5" i="13"/>
  <c r="A2" i="14"/>
  <c r="F30" i="13"/>
  <c r="F28" i="13"/>
  <c r="F26" i="13"/>
  <c r="F24" i="13"/>
  <c r="F22" i="13"/>
  <c r="F20" i="13"/>
  <c r="F13" i="13"/>
  <c r="F9" i="13"/>
  <c r="F24" i="12"/>
  <c r="F22" i="12"/>
  <c r="F20" i="12"/>
  <c r="F18" i="12"/>
  <c r="F16" i="12"/>
  <c r="F14" i="12"/>
  <c r="F8" i="12"/>
  <c r="F6" i="12"/>
  <c r="F4" i="12"/>
  <c r="E12" i="11" l="1"/>
  <c r="E8" i="11"/>
  <c r="E6" i="11"/>
  <c r="E14" i="11"/>
  <c r="E10" i="11"/>
  <c r="E4" i="11"/>
  <c r="I26" i="7"/>
  <c r="H26" i="7"/>
  <c r="G26" i="7"/>
  <c r="F26" i="7"/>
  <c r="E26" i="7"/>
  <c r="D26" i="7"/>
  <c r="C26" i="7"/>
  <c r="I25" i="7"/>
  <c r="H25" i="7"/>
  <c r="G25" i="7"/>
  <c r="F25" i="7"/>
  <c r="E25" i="7"/>
  <c r="D25" i="7"/>
  <c r="C25" i="7"/>
  <c r="I23" i="7"/>
  <c r="H23" i="7"/>
  <c r="G23" i="7"/>
  <c r="F23" i="7"/>
  <c r="E23" i="7"/>
  <c r="D23" i="7"/>
  <c r="C23" i="7"/>
  <c r="I22" i="7"/>
  <c r="H22" i="7"/>
  <c r="G22" i="7"/>
  <c r="F22" i="7"/>
  <c r="E22" i="7"/>
  <c r="D22" i="7"/>
  <c r="C22" i="7"/>
  <c r="I20" i="7"/>
  <c r="H20" i="7"/>
  <c r="G20" i="7"/>
  <c r="F20" i="7"/>
  <c r="E20" i="7"/>
  <c r="D20" i="7"/>
  <c r="C20" i="7"/>
  <c r="I14" i="7"/>
  <c r="H14" i="7"/>
  <c r="G14" i="7"/>
  <c r="F14" i="7"/>
  <c r="E14" i="7"/>
  <c r="D14" i="7"/>
  <c r="C14" i="7"/>
  <c r="I13" i="7"/>
  <c r="H13" i="7"/>
  <c r="G13" i="7"/>
  <c r="F13" i="7"/>
  <c r="E13" i="7"/>
  <c r="D13" i="7"/>
  <c r="C13" i="7"/>
  <c r="I11" i="7"/>
  <c r="H11" i="7"/>
  <c r="G11" i="7"/>
  <c r="F11" i="7"/>
  <c r="E11" i="7"/>
  <c r="D11" i="7"/>
  <c r="C11" i="7"/>
  <c r="I10" i="7"/>
  <c r="H10" i="7"/>
  <c r="G10" i="7"/>
  <c r="F10" i="7"/>
  <c r="E10" i="7"/>
  <c r="D10" i="7"/>
  <c r="C10" i="7"/>
  <c r="I8" i="7"/>
  <c r="H8" i="7"/>
  <c r="G8" i="7"/>
  <c r="F8" i="7"/>
  <c r="E8" i="7"/>
  <c r="D8" i="7"/>
  <c r="C8" i="7"/>
  <c r="I20" i="6"/>
  <c r="H20" i="6"/>
  <c r="G20" i="6"/>
  <c r="F20" i="6"/>
  <c r="E20" i="6"/>
  <c r="D20" i="6"/>
  <c r="C20" i="6"/>
  <c r="I26" i="6"/>
  <c r="H26" i="6"/>
  <c r="G26" i="6"/>
  <c r="F26" i="6"/>
  <c r="E26" i="6"/>
  <c r="D26" i="6"/>
  <c r="C26" i="6"/>
  <c r="I25" i="6"/>
  <c r="H25" i="6"/>
  <c r="G25" i="6"/>
  <c r="F25" i="6"/>
  <c r="E25" i="6"/>
  <c r="D25" i="6"/>
  <c r="C25" i="6"/>
  <c r="I23" i="6"/>
  <c r="H23" i="6"/>
  <c r="G23" i="6"/>
  <c r="F23" i="6"/>
  <c r="E23" i="6"/>
  <c r="D23" i="6"/>
  <c r="C23" i="6"/>
  <c r="I22" i="6"/>
  <c r="H22" i="6"/>
  <c r="G22" i="6"/>
  <c r="F22" i="6"/>
  <c r="E22" i="6"/>
  <c r="D22" i="6"/>
  <c r="C22" i="6"/>
  <c r="I14" i="6"/>
  <c r="H14" i="6"/>
  <c r="G14" i="6"/>
  <c r="F14" i="6"/>
  <c r="E14" i="6"/>
  <c r="D14" i="6"/>
  <c r="C14" i="6"/>
  <c r="I13" i="6"/>
  <c r="H13" i="6"/>
  <c r="G13" i="6"/>
  <c r="F13" i="6"/>
  <c r="E13" i="6"/>
  <c r="D13" i="6"/>
  <c r="C13" i="6"/>
  <c r="C10" i="6"/>
  <c r="I11" i="6"/>
  <c r="H11" i="6"/>
  <c r="G11" i="6"/>
  <c r="F11" i="6"/>
  <c r="E11" i="6"/>
  <c r="D11" i="6"/>
  <c r="C11" i="6"/>
  <c r="I10" i="6"/>
  <c r="H10" i="6"/>
  <c r="G10" i="6"/>
  <c r="F10" i="6"/>
  <c r="E10" i="6"/>
  <c r="D10" i="6"/>
  <c r="I8" i="6"/>
  <c r="H8" i="6"/>
  <c r="G8" i="6"/>
  <c r="F8" i="6"/>
  <c r="E8" i="6"/>
  <c r="D8" i="6"/>
  <c r="C8" i="6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<sst xmlns="http://schemas.openxmlformats.org/spreadsheetml/2006/main" count="656" uniqueCount="228">
  <si>
    <t>mutrue</t>
  </si>
  <si>
    <t>stat</t>
  </si>
  <si>
    <t>pF_0.5</t>
  </si>
  <si>
    <t>pF_0.9</t>
  </si>
  <si>
    <t>pF_0.95</t>
  </si>
  <si>
    <t>pF_0.99</t>
  </si>
  <si>
    <t>x1_fdr</t>
  </si>
  <si>
    <t>x2_ave</t>
  </si>
  <si>
    <t>x4_pct_ok</t>
  </si>
  <si>
    <t>COPY FROM CSV BELOW</t>
  </si>
  <si>
    <t>tgood</t>
  </si>
  <si>
    <t>shape</t>
  </si>
  <si>
    <t>pF_0.6</t>
  </si>
  <si>
    <t>pF_0.7</t>
  </si>
  <si>
    <t>pF_0.8</t>
  </si>
  <si>
    <t>x3_ratio</t>
  </si>
  <si>
    <t>x4_pctok</t>
  </si>
  <si>
    <t>Panel (b): $\gamma = 0.25$</t>
  </si>
  <si>
    <t># ==== past below ====</t>
  </si>
  <si>
    <t># ==== paste below ====</t>
  </si>
  <si>
    <t>Exponential Extrapolation</t>
  </si>
  <si>
    <t>Gamma Extrapolation</t>
  </si>
  <si>
    <t>newer</t>
  </si>
  <si>
    <t>Actual</t>
  </si>
  <si>
    <t>$\FDRez$ (%)</t>
  </si>
  <si>
    <t>Mean $\FDRext/\FDRez$</t>
  </si>
  <si>
    <t xml:space="preserve">Pct $\FDRext/\FDRez &gt; 1$ </t>
  </si>
  <si>
    <t>alt</t>
  </si>
  <si>
    <t>Overall FDR: $\Pr(\tilde{F}_i)$ (%)</t>
  </si>
  <si>
    <t>$\FDReztil$ (%)</t>
  </si>
  <si>
    <t>Mean $\FDRdm/\FDReztil$</t>
  </si>
  <si>
    <t>Pct $\FDRdm/\FDReztil &gt; 1$</t>
  </si>
  <si>
    <t>Panel (b): $\tilde{\gamma} = 0.50$</t>
  </si>
  <si>
    <t>Panel (c): $\tilde{\gamma} = 0.25$</t>
  </si>
  <si>
    <t>Overal FDR $\Pr(F_i)$ (%)</t>
  </si>
  <si>
    <t>Panel (a): Expected Return of True Predictors $\tilde{\gamma} = 0.75$</t>
  </si>
  <si>
    <t>Panel (a): Expected Return of  True Predictors $\gamma = 0.50$</t>
  </si>
  <si>
    <t>Your Conclusion</t>
  </si>
  <si>
    <t>I Don't See Anything (Insignificant)</t>
  </si>
  <si>
    <t>I See Something (Significant)</t>
  </si>
  <si>
    <t>The Truth</t>
  </si>
  <si>
    <t>Nothing is There (Null is True)</t>
  </si>
  <si>
    <t>Something is There (Null is False)</t>
  </si>
  <si>
    <t>Right!</t>
  </si>
  <si>
    <t>Wrong (Type II Error)</t>
  </si>
  <si>
    <t>Wrong (Type I Error)</t>
  </si>
  <si>
    <t>VERSION 2</t>
  </si>
  <si>
    <t>(Null is True)</t>
  </si>
  <si>
    <t>Nothing</t>
  </si>
  <si>
    <t>is There</t>
  </si>
  <si>
    <t>(Null is False)</t>
  </si>
  <si>
    <t>Something</t>
  </si>
  <si>
    <t>Insignificant</t>
  </si>
  <si>
    <t>(Non-Discovery)</t>
  </si>
  <si>
    <t>Significant</t>
  </si>
  <si>
    <t>(Discovery)</t>
  </si>
  <si>
    <t>Correct</t>
  </si>
  <si>
    <t>\cellcolor{gray!50} Wrong</t>
  </si>
  <si>
    <t>\cellcolor{gray!50} (Type I Error)</t>
  </si>
  <si>
    <t>\cellcolor{gray!50} (Type II Error)</t>
  </si>
  <si>
    <t>\cellcolor{gray!50} The Truth</t>
  </si>
  <si>
    <t>\cellcolor{gray!50}</t>
  </si>
  <si>
    <t>\cellcolor{gray!50}Your</t>
  </si>
  <si>
    <t>\cellcolor{gray!50}Conclusion</t>
  </si>
  <si>
    <t>VERSION 3</t>
  </si>
  <si>
    <t>(Null Rejected)</t>
  </si>
  <si>
    <t>(Null Not Rejected)</t>
  </si>
  <si>
    <t>\cellcolor{gray!50} False Non-Discovery</t>
  </si>
  <si>
    <t>True Discovery</t>
  </si>
  <si>
    <t>True Non-Discovery</t>
  </si>
  <si>
    <t>\cellcolor{gray!50}(False Rejection)</t>
  </si>
  <si>
    <t>\cellcolor{gray!50}(False Non-Rejection)</t>
  </si>
  <si>
    <t>\cellcolor{gray!50} False Discovery</t>
  </si>
  <si>
    <t>(Null)</t>
  </si>
  <si>
    <t>(Non-Null)</t>
  </si>
  <si>
    <t>\cellcolor{gray!50} The Truth (Latent)</t>
  </si>
  <si>
    <t>\cellcolor{gray!50} (Observed)</t>
  </si>
  <si>
    <t>False Predictor</t>
  </si>
  <si>
    <t>True Predictor</t>
  </si>
  <si>
    <t>Panel (a): The Traditional Interpretation (Fisher 1926, Soric 1989)</t>
  </si>
  <si>
    <t>Panel (b): The Interpretation in Harvey, Liu, Zhu (2016)</t>
  </si>
  <si>
    <t>The chosen</t>
  </si>
  <si>
    <t xml:space="preserve">The previous </t>
  </si>
  <si>
    <t>\cellcolor{gray!50}Previous</t>
  </si>
  <si>
    <t>\cellcolor{gray!50} The Truth (Observed)</t>
  </si>
  <si>
    <t>test is</t>
  </si>
  <si>
    <t>insignificant</t>
  </si>
  <si>
    <t>significant</t>
  </si>
  <si>
    <t>Panel (a): The Traditional Interpretation (Fisher 1935, Soric 1989)</t>
  </si>
  <si>
    <t>The standard</t>
  </si>
  <si>
    <t>The "improved"</t>
  </si>
  <si>
    <t>Panel (b): A Non-Traditional Interpretation (Harvey, Liu, and Zhu 2016)</t>
  </si>
  <si>
    <t>Paper</t>
  </si>
  <si>
    <t>Yan and Zheng (2017)</t>
  </si>
  <si>
    <t>Chordia, Goyal, Saretto (2020)</t>
  </si>
  <si>
    <t>Table 1</t>
  </si>
  <si>
    <t>$\Pr(|t_i|&gt;2)$</t>
  </si>
  <si>
    <t>at least 20%</t>
  </si>
  <si>
    <t>Table 1, Equal-Weighted</t>
  </si>
  <si>
    <t>Table 3, Alpha</t>
  </si>
  <si>
    <t>Exhibit</t>
  </si>
  <si>
    <t>Data Mining Method</t>
  </si>
  <si>
    <t>Begin with 240 accounting varialbes, apply 76 simple transformations, yielding 18,000 signals</t>
  </si>
  <si>
    <t>Begin with 185 accounting variables, apply growth rates, ratios of any two variables, and all possible combinations of $(x_1-x_2)/x_3$, yielding 2.4 million signals.</t>
  </si>
  <si>
    <t>Begin with 242 accounting variables, apply all possible ratios and $\Delta x_1/ \text{lag} x_2$, yielding 29,000 signals</t>
  </si>
  <si>
    <t>Begin with 240 accounting variables</t>
  </si>
  <si>
    <t>Yan and Zheng</t>
  </si>
  <si>
    <t>(2017)</t>
  </si>
  <si>
    <t>apply 76 simple transformations,</t>
  </si>
  <si>
    <t xml:space="preserve">Begin with 185 accounting variables, </t>
  </si>
  <si>
    <t xml:space="preserve">combinations of $(x_1-x_2)/x_3$, </t>
  </si>
  <si>
    <t>yielding 2.4 million signals.</t>
  </si>
  <si>
    <t xml:space="preserve">Chordia, Goyal, </t>
  </si>
  <si>
    <t>Saretto (2020)</t>
  </si>
  <si>
    <t xml:space="preserve">Chen, Lopez-Lira, </t>
  </si>
  <si>
    <t xml:space="preserve">Begin with 242 accounting </t>
  </si>
  <si>
    <t xml:space="preserve">variables, apply all possible ratios </t>
  </si>
  <si>
    <t xml:space="preserve">and $\Delta x_1/ \text{lag} (x_2)$, </t>
  </si>
  <si>
    <t>Equal-</t>
  </si>
  <si>
    <t>Weighted</t>
  </si>
  <si>
    <t>yielding 18,000 signals.</t>
  </si>
  <si>
    <t>yielding 29,000 signals.</t>
  </si>
  <si>
    <t>apply growth rates, ratios, and all</t>
  </si>
  <si>
    <t>Green, Hand,</t>
  </si>
  <si>
    <t>Zhang (2013)</t>
  </si>
  <si>
    <t>Method</t>
  </si>
  <si>
    <t>Mean Pub</t>
  </si>
  <si>
    <t>t-stat</t>
  </si>
  <si>
    <t>$\FDRez$</t>
  </si>
  <si>
    <t>bound (%)</t>
  </si>
  <si>
    <t>Pontiff (2016)</t>
  </si>
  <si>
    <t>Page 16 ,</t>
  </si>
  <si>
    <t>Par 1</t>
  </si>
  <si>
    <t>Muller (2020)</t>
  </si>
  <si>
    <t>Online App</t>
  </si>
  <si>
    <t>Table 2</t>
  </si>
  <si>
    <t>In-Sample</t>
  </si>
  <si>
    <t>Full-Sample</t>
  </si>
  <si>
    <t>ermann (2020)</t>
  </si>
  <si>
    <t>Hand</t>
  </si>
  <si>
    <t>Collected</t>
  </si>
  <si>
    <t>Replicated</t>
  </si>
  <si>
    <t>Zhu (2016)</t>
  </si>
  <si>
    <t>Figure A.1</t>
  </si>
  <si>
    <t>Tables 3</t>
  </si>
  <si>
    <t>and 4</t>
  </si>
  <si>
    <t>\bigstrut[t] Chen, Zimm-</t>
  </si>
  <si>
    <t>\bigstrut[t] Harvey, Liu,</t>
  </si>
  <si>
    <t>\bigstrut[t] McLean,</t>
  </si>
  <si>
    <t>\bigstrut[t] Jacobs,</t>
  </si>
  <si>
    <t>estimates</t>
  </si>
  <si>
    <t>Table A2</t>
  </si>
  <si>
    <t>Panel B</t>
  </si>
  <si>
    <t>in 12 out of 13</t>
  </si>
  <si>
    <t>Table 1 of</t>
  </si>
  <si>
    <t>BBH 2025</t>
  </si>
  <si>
    <t>Pedersen (2021)</t>
  </si>
  <si>
    <t xml:space="preserve">\bigstrut[t] Jensen, Kelly, </t>
  </si>
  <si>
    <t>Chen, Lopez-Lira, Zimmermann (2025)</t>
  </si>
  <si>
    <t>Zimmermann (2025)</t>
  </si>
  <si>
    <t>Panel (a): Data-Mining as a Worst Case  (Equation \eqref{eq:ez-dm})</t>
  </si>
  <si>
    <t>Lower Bound (%)</t>
  </si>
  <si>
    <t>Upper Bound (%)</t>
  </si>
  <si>
    <t>(1)</t>
  </si>
  <si>
    <t>(2)</t>
  </si>
  <si>
    <t>Panel A1 or A2</t>
  </si>
  <si>
    <t>(3)</t>
  </si>
  <si>
    <t>Equal-Weighted</t>
  </si>
  <si>
    <t>\vspace{-1.5ex}</t>
  </si>
  <si>
    <t>Panel (b): Exponential Extrapolation as a Worst Case (Equation \eqref{eq:ez-fdr-extrap})</t>
  </si>
  <si>
    <t>Mean Published</t>
  </si>
  <si>
    <t>(4)</t>
  </si>
  <si>
    <t>(5)</t>
  </si>
  <si>
    <t>Chen, Zimm-</t>
  </si>
  <si>
    <t>(6)</t>
  </si>
  <si>
    <t>Harvey, Liu,</t>
  </si>
  <si>
    <t>(7)</t>
  </si>
  <si>
    <t>McLean,</t>
  </si>
  <si>
    <t>(8)</t>
  </si>
  <si>
    <t xml:space="preserve">Jensen, Kelly, </t>
  </si>
  <si>
    <t>(9)</t>
  </si>
  <si>
    <t>Jacobs,</t>
  </si>
  <si>
    <t>Ratios Allowed</t>
  </si>
  <si>
    <t>$\Delta x/\text{lag}(x), x/y$</t>
  </si>
  <si>
    <t>$(x-y)/z$</t>
  </si>
  <si>
    <t>$x/y, \Delta x/\text{lag}y$</t>
  </si>
  <si>
    <t>$y$ restricted to 15 base vars</t>
  </si>
  <si>
    <t>$x/y, \Delta(x/y), \%\Delta(x/y), \% \Delta in x$</t>
  </si>
  <si>
    <t>(2017) Table 1</t>
  </si>
  <si>
    <t>Saretto (2020) Table 3</t>
  </si>
  <si>
    <t>Chen et al. (2025)</t>
  </si>
  <si>
    <t>Reported</t>
  </si>
  <si>
    <t>Statistic</t>
  </si>
  <si>
    <t>RangeAddress</t>
  </si>
  <si>
    <t>Options</t>
  </si>
  <si>
    <t>CellWidth</t>
  </si>
  <si>
    <t>Indent</t>
  </si>
  <si>
    <t>FileName</t>
  </si>
  <si>
    <t>ez-combined.tex</t>
  </si>
  <si>
    <t>Bound (%)</t>
  </si>
  <si>
    <t>$t$-statistic</t>
  </si>
  <si>
    <t>Construction</t>
  </si>
  <si>
    <t>$Y$ restricted to 15 base vars</t>
  </si>
  <si>
    <t>$X/Y, \: \Delta(X/Y), \: %\Delta(X/Y),$</t>
  </si>
  <si>
    <t>$\: % \Delta X, \: \Delta X / \text{lag} Y, $</t>
  </si>
  <si>
    <t xml:space="preserve">$\: %\Delta X - %\Delta Y,$ </t>
  </si>
  <si>
    <t>90th and 10th</t>
  </si>
  <si>
    <t>ptile of t-stats</t>
  </si>
  <si>
    <t>is 2.41 and -3.41,</t>
  </si>
  <si>
    <t>respectively</t>
  </si>
  <si>
    <t>Mean t-stat for</t>
  </si>
  <si>
    <t>2nd quintile</t>
  </si>
  <si>
    <t>is -2.46</t>
  </si>
  <si>
    <t>$\Delta X/\text{lag}(X), X/Y$</t>
  </si>
  <si>
    <t>$(X-Y)/Z$</t>
  </si>
  <si>
    <t>$X/Y, \Delta X/\text{lag}Y$</t>
  </si>
  <si>
    <t>20% of $|t_i|$</t>
  </si>
  <si>
    <t>exceed 1.96</t>
  </si>
  <si>
    <t>(2017) Table 1 (EW)</t>
  </si>
  <si>
    <t>Table 3 (Alpha)</t>
  </si>
  <si>
    <t>23% of $|t_i|$</t>
  </si>
  <si>
    <t>Table 1 (Equal-</t>
  </si>
  <si>
    <t>Weighted)</t>
  </si>
  <si>
    <t>Data Mining</t>
  </si>
  <si>
    <t>Study</t>
  </si>
  <si>
    <t>Accouting</t>
  </si>
  <si>
    <t>$Y$ restricted to 15 vars</t>
  </si>
  <si>
    <t>Meta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</si>
</sst>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2" fontId="0" fillId="0" borderId="0" xfId="0" applyNumberFormat="1"/>
    <xf numFmtId="1" fontId="0" fillId="0" borderId="0" xfId="0" applyNumberFormat="1"/>
    <xf numFmtId="1" fontId="0" fillId="0" borderId="3" xfId="0" applyNumberFormat="1" applyBorder="1"/>
    <xf numFmtId="1" fontId="0" fillId="0" borderId="1" xfId="1" applyNumberFormat="1" applyFont="1" applyBorder="1" applyAlignment="1"/>
    <xf numFmtId="1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/>
    <xf numFmtId="0" fontId="0" fillId="0" borderId="7" xfId="0" applyBorder="1"/>
    <xf numFmtId="0" fontId="0" fillId="0" borderId="6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/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1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right"/>
    </xf>
    <xf numFmtId="49" fontId="0" fillId="0" borderId="1" xfId="0" applyNumberForma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/>
    </xf>
    <xf numFmtId="49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9" fontId="0" fillId="0" borderId="2" xfId="0" applyNumberFormat="1" applyBorder="1"/>
    <xf numFmtId="49" fontId="0" fillId="0" borderId="2" xfId="0" applyNumberFormat="1" applyBorder="1" applyAlignment="1">
      <alignment horizontal="left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 applyBorder="1" applyAlignment="1">
      <alignment horizontal="left" vertical="center"/>
    </xf>
    <xf numFmtId="49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1" fontId="0" fillId="0" borderId="0" xfId="2" applyNumberFormat="1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22"/>
  <sheetViews>
    <sheetView workbookViewId="0">
      <selection activeCell="N7" sqref="N7"/>
    </sheetView>
  </sheetViews>
  <sheetFormatPr baseColWidth="10" defaultColWidth="8.83203125" defaultRowHeight="15" x14ac:dyDescent="0.2"/>
  <cols>
    <col min="1" max="1" width="25.5" customWidth="1"/>
    <col min="14" max="14" width="12.5" customWidth="1"/>
  </cols>
  <sheetData>
    <row r="2" spans="1:22" x14ac:dyDescent="0.2">
      <c r="A2" s="1"/>
      <c r="B2" s="1"/>
      <c r="C2" s="1"/>
      <c r="D2" s="1"/>
      <c r="E2" s="1"/>
      <c r="F2" s="1"/>
      <c r="G2" s="1"/>
      <c r="H2" s="1"/>
    </row>
    <row r="3" spans="1:22" x14ac:dyDescent="0.2">
      <c r="A3" s="64" t="s">
        <v>35</v>
      </c>
      <c r="B3" s="64"/>
      <c r="C3" s="64"/>
      <c r="D3" s="64"/>
      <c r="E3" s="64"/>
      <c r="F3" s="64"/>
      <c r="G3" s="64"/>
      <c r="H3" s="64"/>
    </row>
    <row r="4" spans="1:22" x14ac:dyDescent="0.2">
      <c r="B4" s="63" t="s">
        <v>28</v>
      </c>
      <c r="C4" s="63"/>
      <c r="D4" s="63"/>
      <c r="E4" s="63"/>
      <c r="F4" s="63"/>
      <c r="G4" s="63"/>
      <c r="H4" s="63"/>
    </row>
    <row r="5" spans="1:22" x14ac:dyDescent="0.2">
      <c r="B5" s="1">
        <v>50</v>
      </c>
      <c r="C5" s="1">
        <v>60</v>
      </c>
      <c r="D5" s="1">
        <v>70</v>
      </c>
      <c r="E5" s="1">
        <v>80</v>
      </c>
      <c r="F5" s="1">
        <v>90</v>
      </c>
      <c r="G5" s="1">
        <v>95</v>
      </c>
      <c r="H5" s="1">
        <v>99</v>
      </c>
    </row>
    <row r="6" spans="1:22" x14ac:dyDescent="0.2">
      <c r="A6" t="s">
        <v>29</v>
      </c>
      <c r="B6" s="3">
        <f t="shared" ref="B6:H8" si="0">P8</f>
        <v>4.7025238375793101</v>
      </c>
      <c r="C6" s="3">
        <f t="shared" si="0"/>
        <v>6.8451780355842002</v>
      </c>
      <c r="D6" s="3">
        <f t="shared" si="0"/>
        <v>10.156929183343999</v>
      </c>
      <c r="E6" s="3">
        <f t="shared" si="0"/>
        <v>16.018657080588799</v>
      </c>
      <c r="F6" s="3">
        <f t="shared" si="0"/>
        <v>29.252815115841599</v>
      </c>
      <c r="G6" s="3">
        <f t="shared" si="0"/>
        <v>45.584255885442097</v>
      </c>
      <c r="H6" s="3">
        <f t="shared" si="0"/>
        <v>80.082531058880704</v>
      </c>
      <c r="N6" t="s">
        <v>9</v>
      </c>
    </row>
    <row r="7" spans="1:22" x14ac:dyDescent="0.2">
      <c r="A7" t="s">
        <v>30</v>
      </c>
      <c r="B7" s="2">
        <f t="shared" si="0"/>
        <v>2.1633654894493501</v>
      </c>
      <c r="C7" s="2">
        <f t="shared" si="0"/>
        <v>1.8158197455849301</v>
      </c>
      <c r="D7" s="2">
        <f t="shared" si="0"/>
        <v>1.57354934134788</v>
      </c>
      <c r="E7" s="2">
        <f t="shared" si="0"/>
        <v>1.40029481571792</v>
      </c>
      <c r="F7" s="2">
        <f t="shared" si="0"/>
        <v>1.29075013043633</v>
      </c>
      <c r="G7" s="2">
        <f t="shared" si="0"/>
        <v>1.2770010709636599</v>
      </c>
      <c r="H7" s="2">
        <f t="shared" si="0"/>
        <v>1.33224713961443</v>
      </c>
      <c r="N7" t="s">
        <v>0</v>
      </c>
      <c r="O7" t="s">
        <v>1</v>
      </c>
      <c r="P7" t="s">
        <v>2</v>
      </c>
      <c r="Q7" t="s">
        <v>12</v>
      </c>
      <c r="R7" t="s">
        <v>13</v>
      </c>
      <c r="S7" t="s">
        <v>14</v>
      </c>
      <c r="T7" t="s">
        <v>3</v>
      </c>
      <c r="U7" t="s">
        <v>4</v>
      </c>
      <c r="V7" t="s">
        <v>5</v>
      </c>
    </row>
    <row r="8" spans="1:22" x14ac:dyDescent="0.2">
      <c r="A8" s="1" t="s">
        <v>31</v>
      </c>
      <c r="B8" s="5">
        <f t="shared" si="0"/>
        <v>100</v>
      </c>
      <c r="C8" s="5">
        <f t="shared" si="0"/>
        <v>100</v>
      </c>
      <c r="D8" s="5">
        <f t="shared" si="0"/>
        <v>100</v>
      </c>
      <c r="E8" s="6">
        <f t="shared" si="0"/>
        <v>99.3</v>
      </c>
      <c r="F8" s="5">
        <f t="shared" si="0"/>
        <v>90.6</v>
      </c>
      <c r="G8" s="5">
        <f t="shared" si="0"/>
        <v>82.399999999999906</v>
      </c>
      <c r="H8" s="5">
        <f t="shared" si="0"/>
        <v>72.3</v>
      </c>
      <c r="N8">
        <v>0.75</v>
      </c>
      <c r="O8" t="s">
        <v>6</v>
      </c>
      <c r="P8">
        <v>4.7025238375793101</v>
      </c>
      <c r="Q8">
        <v>6.8451780355842002</v>
      </c>
      <c r="R8">
        <v>10.156929183343999</v>
      </c>
      <c r="S8">
        <v>16.018657080588799</v>
      </c>
      <c r="T8">
        <v>29.252815115841599</v>
      </c>
      <c r="U8">
        <v>45.584255885442097</v>
      </c>
      <c r="V8">
        <v>80.082531058880704</v>
      </c>
    </row>
    <row r="9" spans="1:22" x14ac:dyDescent="0.2">
      <c r="A9" s="1"/>
      <c r="B9" s="1"/>
      <c r="C9" s="1"/>
      <c r="D9" s="1"/>
      <c r="E9" s="1"/>
      <c r="F9" s="1"/>
      <c r="G9" s="1"/>
      <c r="H9" s="1"/>
      <c r="N9">
        <v>0.75</v>
      </c>
      <c r="O9" t="s">
        <v>7</v>
      </c>
      <c r="P9">
        <v>2.1633654894493501</v>
      </c>
      <c r="Q9">
        <v>1.8158197455849301</v>
      </c>
      <c r="R9">
        <v>1.57354934134788</v>
      </c>
      <c r="S9">
        <v>1.40029481571792</v>
      </c>
      <c r="T9">
        <v>1.29075013043633</v>
      </c>
      <c r="U9">
        <v>1.2770010709636599</v>
      </c>
      <c r="V9">
        <v>1.33224713961443</v>
      </c>
    </row>
    <row r="10" spans="1:22" x14ac:dyDescent="0.2">
      <c r="A10" s="64" t="s">
        <v>32</v>
      </c>
      <c r="B10" s="64"/>
      <c r="C10" s="64"/>
      <c r="D10" s="64"/>
      <c r="E10" s="64"/>
      <c r="F10" s="64"/>
      <c r="G10" s="64"/>
      <c r="H10" s="64"/>
      <c r="N10">
        <v>0.75</v>
      </c>
      <c r="O10" t="s">
        <v>8</v>
      </c>
      <c r="P10">
        <v>100</v>
      </c>
      <c r="Q10">
        <v>100</v>
      </c>
      <c r="R10">
        <v>100</v>
      </c>
      <c r="S10">
        <v>99.3</v>
      </c>
      <c r="T10">
        <v>90.6</v>
      </c>
      <c r="U10">
        <v>82.399999999999906</v>
      </c>
      <c r="V10">
        <v>72.3</v>
      </c>
    </row>
    <row r="11" spans="1:22" x14ac:dyDescent="0.2">
      <c r="B11" s="63" t="s">
        <v>28</v>
      </c>
      <c r="C11" s="63"/>
      <c r="D11" s="63"/>
      <c r="E11" s="63"/>
      <c r="F11" s="63"/>
      <c r="G11" s="63"/>
      <c r="H11" s="63"/>
      <c r="N11">
        <v>0.5</v>
      </c>
      <c r="O11" t="s">
        <v>6</v>
      </c>
      <c r="P11">
        <v>5.2071889554040602</v>
      </c>
      <c r="Q11">
        <v>7.5610657228547202</v>
      </c>
      <c r="R11">
        <v>11.190537715935299</v>
      </c>
      <c r="S11">
        <v>17.450120510173399</v>
      </c>
      <c r="T11">
        <v>31.396221408377301</v>
      </c>
      <c r="U11">
        <v>48.082906525037302</v>
      </c>
      <c r="V11">
        <v>81.5936834809266</v>
      </c>
    </row>
    <row r="12" spans="1:22" x14ac:dyDescent="0.2">
      <c r="B12" s="1">
        <v>50</v>
      </c>
      <c r="C12" s="1">
        <v>60</v>
      </c>
      <c r="D12" s="1">
        <v>70</v>
      </c>
      <c r="E12" s="1">
        <v>80</v>
      </c>
      <c r="F12" s="1">
        <v>90</v>
      </c>
      <c r="G12" s="1">
        <v>95</v>
      </c>
      <c r="H12" s="1">
        <v>99</v>
      </c>
      <c r="N12">
        <v>0.5</v>
      </c>
      <c r="O12" t="s">
        <v>7</v>
      </c>
      <c r="P12">
        <v>2.1645613492437099</v>
      </c>
      <c r="Q12">
        <v>1.81675754057895</v>
      </c>
      <c r="R12">
        <v>1.5733587879270801</v>
      </c>
      <c r="S12">
        <v>1.40426526527141</v>
      </c>
      <c r="T12">
        <v>1.2974987025617899</v>
      </c>
      <c r="U12">
        <v>1.2837111767313001</v>
      </c>
      <c r="V12">
        <v>1.3359457215006001</v>
      </c>
    </row>
    <row r="13" spans="1:22" x14ac:dyDescent="0.2">
      <c r="A13" t="s">
        <v>29</v>
      </c>
      <c r="B13" s="3">
        <f>P11</f>
        <v>5.2071889554040602</v>
      </c>
      <c r="C13" s="3">
        <f t="shared" ref="C13:H13" si="1">Q11</f>
        <v>7.5610657228547202</v>
      </c>
      <c r="D13" s="3">
        <f t="shared" si="1"/>
        <v>11.190537715935299</v>
      </c>
      <c r="E13" s="3">
        <f t="shared" si="1"/>
        <v>17.450120510173399</v>
      </c>
      <c r="F13" s="3">
        <f t="shared" si="1"/>
        <v>31.396221408377301</v>
      </c>
      <c r="G13" s="3">
        <f t="shared" si="1"/>
        <v>48.082906525037302</v>
      </c>
      <c r="H13" s="3">
        <f t="shared" si="1"/>
        <v>81.5936834809266</v>
      </c>
      <c r="N13">
        <v>0.5</v>
      </c>
      <c r="O13" t="s">
        <v>8</v>
      </c>
      <c r="P13">
        <v>100</v>
      </c>
      <c r="Q13">
        <v>100</v>
      </c>
      <c r="R13">
        <v>100</v>
      </c>
      <c r="S13">
        <v>99.3</v>
      </c>
      <c r="T13">
        <v>89.6</v>
      </c>
      <c r="U13">
        <v>82</v>
      </c>
      <c r="V13">
        <v>72.099999999999994</v>
      </c>
    </row>
    <row r="14" spans="1:22" x14ac:dyDescent="0.2">
      <c r="A14" t="s">
        <v>30</v>
      </c>
      <c r="B14" s="2">
        <f t="shared" ref="B14:H14" si="2">P12</f>
        <v>2.1645613492437099</v>
      </c>
      <c r="C14" s="2">
        <f t="shared" si="2"/>
        <v>1.81675754057895</v>
      </c>
      <c r="D14" s="2">
        <f t="shared" si="2"/>
        <v>1.5733587879270801</v>
      </c>
      <c r="E14" s="2">
        <f t="shared" si="2"/>
        <v>1.40426526527141</v>
      </c>
      <c r="F14" s="2">
        <f t="shared" si="2"/>
        <v>1.2974987025617899</v>
      </c>
      <c r="G14" s="2">
        <f t="shared" si="2"/>
        <v>1.2837111767313001</v>
      </c>
      <c r="H14" s="2">
        <f t="shared" si="2"/>
        <v>1.3359457215006001</v>
      </c>
      <c r="N14">
        <v>0.25</v>
      </c>
      <c r="O14" t="s">
        <v>6</v>
      </c>
      <c r="P14">
        <v>8.4508868819456708</v>
      </c>
      <c r="Q14">
        <v>12.046424045211801</v>
      </c>
      <c r="R14">
        <v>17.3355901131191</v>
      </c>
      <c r="S14">
        <v>25.992026530755101</v>
      </c>
      <c r="T14">
        <v>43.150402991388901</v>
      </c>
      <c r="U14">
        <v>60.590346549690402</v>
      </c>
      <c r="V14">
        <v>88.232071973859107</v>
      </c>
    </row>
    <row r="15" spans="1:22" x14ac:dyDescent="0.2">
      <c r="A15" s="1" t="s">
        <v>31</v>
      </c>
      <c r="B15" s="5">
        <f t="shared" ref="B15:H15" si="3">P13</f>
        <v>100</v>
      </c>
      <c r="C15" s="5">
        <f t="shared" si="3"/>
        <v>100</v>
      </c>
      <c r="D15" s="5">
        <f t="shared" si="3"/>
        <v>100</v>
      </c>
      <c r="E15" s="6">
        <f t="shared" si="3"/>
        <v>99.3</v>
      </c>
      <c r="F15" s="5">
        <f t="shared" si="3"/>
        <v>89.6</v>
      </c>
      <c r="G15" s="5">
        <f t="shared" si="3"/>
        <v>82</v>
      </c>
      <c r="H15" s="5">
        <f t="shared" si="3"/>
        <v>72.099999999999994</v>
      </c>
      <c r="N15">
        <v>0.25</v>
      </c>
      <c r="O15" t="s">
        <v>7</v>
      </c>
      <c r="P15">
        <v>2.2142472928076198</v>
      </c>
      <c r="Q15">
        <v>1.86383734130423</v>
      </c>
      <c r="R15">
        <v>1.6230100841961499</v>
      </c>
      <c r="S15">
        <v>1.4539044612587599</v>
      </c>
      <c r="T15">
        <v>1.3469604746727</v>
      </c>
      <c r="U15">
        <v>1.33052712596972</v>
      </c>
      <c r="V15">
        <v>1.35969638118475</v>
      </c>
    </row>
    <row r="16" spans="1:22" x14ac:dyDescent="0.2">
      <c r="N16">
        <v>0.25</v>
      </c>
      <c r="O16" t="s">
        <v>8</v>
      </c>
      <c r="P16">
        <v>100</v>
      </c>
      <c r="Q16">
        <v>100</v>
      </c>
      <c r="R16">
        <v>99.7</v>
      </c>
      <c r="S16">
        <v>95.399999999999906</v>
      </c>
      <c r="T16">
        <v>84.899999999999906</v>
      </c>
      <c r="U16">
        <v>79</v>
      </c>
      <c r="V16">
        <v>70.899999999999906</v>
      </c>
    </row>
    <row r="17" spans="1:8" x14ac:dyDescent="0.2">
      <c r="A17" s="64" t="s">
        <v>33</v>
      </c>
      <c r="B17" s="64"/>
      <c r="C17" s="64"/>
      <c r="D17" s="64"/>
      <c r="E17" s="64"/>
      <c r="F17" s="64"/>
      <c r="G17" s="64"/>
      <c r="H17" s="64"/>
    </row>
    <row r="18" spans="1:8" x14ac:dyDescent="0.2">
      <c r="B18" s="63" t="s">
        <v>28</v>
      </c>
      <c r="C18" s="63"/>
      <c r="D18" s="63"/>
      <c r="E18" s="63"/>
      <c r="F18" s="63"/>
      <c r="G18" s="63"/>
      <c r="H18" s="63"/>
    </row>
    <row r="19" spans="1:8" x14ac:dyDescent="0.2">
      <c r="B19" s="1">
        <v>50</v>
      </c>
      <c r="C19" s="1">
        <v>60</v>
      </c>
      <c r="D19" s="1">
        <v>70</v>
      </c>
      <c r="E19" s="1">
        <v>80</v>
      </c>
      <c r="F19" s="1">
        <v>90</v>
      </c>
      <c r="G19" s="1">
        <v>95</v>
      </c>
      <c r="H19" s="1">
        <v>99</v>
      </c>
    </row>
    <row r="20" spans="1:8" x14ac:dyDescent="0.2">
      <c r="A20" t="s">
        <v>29</v>
      </c>
      <c r="B20" s="4">
        <f>P14</f>
        <v>8.4508868819456708</v>
      </c>
      <c r="C20" s="4">
        <f t="shared" ref="C20:H20" si="4">Q14</f>
        <v>12.046424045211801</v>
      </c>
      <c r="D20" s="4">
        <f t="shared" si="4"/>
        <v>17.3355901131191</v>
      </c>
      <c r="E20" s="4">
        <f t="shared" si="4"/>
        <v>25.992026530755101</v>
      </c>
      <c r="F20" s="4">
        <f t="shared" si="4"/>
        <v>43.150402991388901</v>
      </c>
      <c r="G20" s="4">
        <f t="shared" si="4"/>
        <v>60.590346549690402</v>
      </c>
      <c r="H20" s="4">
        <f t="shared" si="4"/>
        <v>88.232071973859107</v>
      </c>
    </row>
    <row r="21" spans="1:8" x14ac:dyDescent="0.2">
      <c r="A21" t="s">
        <v>30</v>
      </c>
      <c r="B21" s="2">
        <f t="shared" ref="B21:H21" si="5">P15</f>
        <v>2.2142472928076198</v>
      </c>
      <c r="C21" s="2">
        <f t="shared" si="5"/>
        <v>1.86383734130423</v>
      </c>
      <c r="D21" s="2">
        <f t="shared" si="5"/>
        <v>1.6230100841961499</v>
      </c>
      <c r="E21" s="2">
        <f t="shared" si="5"/>
        <v>1.4539044612587599</v>
      </c>
      <c r="F21" s="2">
        <f t="shared" si="5"/>
        <v>1.3469604746727</v>
      </c>
      <c r="G21" s="2">
        <f t="shared" si="5"/>
        <v>1.33052712596972</v>
      </c>
      <c r="H21" s="2">
        <f t="shared" si="5"/>
        <v>1.35969638118475</v>
      </c>
    </row>
    <row r="22" spans="1:8" x14ac:dyDescent="0.2">
      <c r="A22" s="1" t="s">
        <v>31</v>
      </c>
      <c r="B22" s="5">
        <f t="shared" ref="B22:H22" si="6">P16</f>
        <v>100</v>
      </c>
      <c r="C22" s="5">
        <f t="shared" si="6"/>
        <v>100</v>
      </c>
      <c r="D22" s="5">
        <f t="shared" si="6"/>
        <v>99.7</v>
      </c>
      <c r="E22" s="6">
        <f t="shared" si="6"/>
        <v>95.399999999999906</v>
      </c>
      <c r="F22" s="5">
        <f t="shared" si="6"/>
        <v>84.899999999999906</v>
      </c>
      <c r="G22" s="5">
        <f t="shared" si="6"/>
        <v>79</v>
      </c>
      <c r="H22" s="5">
        <f t="shared" si="6"/>
        <v>70.899999999999906</v>
      </c>
    </row>
  </sheetData>
  <mergeCells count="6">
    <mergeCell ref="B18:H18"/>
    <mergeCell ref="A3:H3"/>
    <mergeCell ref="B4:H4"/>
    <mergeCell ref="A10:H10"/>
    <mergeCell ref="B11:H11"/>
    <mergeCell ref="A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11A4-AC86-4CF4-B1F4-95753F2EE602}">
  <dimension ref="A1:V26"/>
  <sheetViews>
    <sheetView workbookViewId="0">
      <selection activeCell="L6" sqref="L6:V18"/>
    </sheetView>
  </sheetViews>
  <sheetFormatPr baseColWidth="10" defaultColWidth="8.83203125" defaultRowHeight="15" x14ac:dyDescent="0.2"/>
  <cols>
    <col min="2" max="2" width="25.5" customWidth="1"/>
  </cols>
  <sheetData>
    <row r="1" spans="1:22" x14ac:dyDescent="0.2">
      <c r="A1" t="s">
        <v>22</v>
      </c>
    </row>
    <row r="3" spans="1:22" x14ac:dyDescent="0.2">
      <c r="A3" s="1"/>
      <c r="B3" s="1"/>
      <c r="C3" s="1"/>
      <c r="D3" s="1"/>
      <c r="E3" s="1"/>
      <c r="F3" s="1"/>
      <c r="G3" s="1"/>
      <c r="H3" s="1"/>
      <c r="I3" s="1"/>
    </row>
    <row r="4" spans="1:22" x14ac:dyDescent="0.2">
      <c r="A4" s="64" t="s">
        <v>36</v>
      </c>
      <c r="B4" s="64"/>
      <c r="C4" s="64"/>
      <c r="D4" s="64"/>
      <c r="E4" s="64"/>
      <c r="F4" s="64"/>
      <c r="G4" s="64"/>
      <c r="H4" s="64"/>
      <c r="I4" s="64"/>
    </row>
    <row r="5" spans="1:22" x14ac:dyDescent="0.2">
      <c r="C5" s="67" t="s">
        <v>34</v>
      </c>
      <c r="D5" s="67"/>
      <c r="E5" s="67"/>
      <c r="F5" s="67"/>
      <c r="G5" s="67"/>
      <c r="H5" s="67"/>
      <c r="I5" s="67"/>
      <c r="L5" t="s">
        <v>18</v>
      </c>
    </row>
    <row r="6" spans="1:22" x14ac:dyDescent="0.2">
      <c r="C6" s="1">
        <v>50</v>
      </c>
      <c r="D6" s="1">
        <v>60</v>
      </c>
      <c r="E6" s="1">
        <v>70</v>
      </c>
      <c r="F6" s="1">
        <v>80</v>
      </c>
      <c r="G6" s="1">
        <v>90</v>
      </c>
      <c r="H6" s="1">
        <v>95</v>
      </c>
      <c r="I6" s="1">
        <v>99</v>
      </c>
      <c r="L6" t="s">
        <v>10</v>
      </c>
      <c r="M6" t="s">
        <v>0</v>
      </c>
      <c r="N6" t="s">
        <v>11</v>
      </c>
      <c r="O6" t="s">
        <v>1</v>
      </c>
      <c r="P6" t="s">
        <v>2</v>
      </c>
      <c r="Q6" t="s">
        <v>12</v>
      </c>
      <c r="R6" t="s">
        <v>13</v>
      </c>
      <c r="S6" t="s">
        <v>14</v>
      </c>
      <c r="T6" t="s">
        <v>3</v>
      </c>
      <c r="U6" t="s">
        <v>4</v>
      </c>
      <c r="V6" t="s">
        <v>5</v>
      </c>
    </row>
    <row r="7" spans="1:22" x14ac:dyDescent="0.2">
      <c r="A7" s="66" t="s">
        <v>23</v>
      </c>
      <c r="B7" s="66"/>
      <c r="C7" s="66"/>
      <c r="D7" s="66"/>
      <c r="E7" s="66"/>
      <c r="L7">
        <v>2.6</v>
      </c>
      <c r="M7">
        <v>0.5</v>
      </c>
      <c r="N7">
        <v>1</v>
      </c>
      <c r="O7" t="s">
        <v>6</v>
      </c>
      <c r="P7">
        <v>6.9</v>
      </c>
      <c r="Q7">
        <v>9.81</v>
      </c>
      <c r="R7">
        <v>14.1</v>
      </c>
      <c r="S7">
        <v>21.19</v>
      </c>
      <c r="T7">
        <v>35.619999999999997</v>
      </c>
      <c r="U7">
        <v>51.4</v>
      </c>
      <c r="V7">
        <v>81.47</v>
      </c>
    </row>
    <row r="8" spans="1:22" x14ac:dyDescent="0.2">
      <c r="B8" t="s">
        <v>24</v>
      </c>
      <c r="C8" s="3">
        <f>P7</f>
        <v>6.9</v>
      </c>
      <c r="D8" s="3">
        <f t="shared" ref="D8:I8" si="0">Q7</f>
        <v>9.81</v>
      </c>
      <c r="E8" s="3">
        <f t="shared" si="0"/>
        <v>14.1</v>
      </c>
      <c r="F8" s="3">
        <f t="shared" si="0"/>
        <v>21.19</v>
      </c>
      <c r="G8" s="3">
        <f t="shared" si="0"/>
        <v>35.619999999999997</v>
      </c>
      <c r="H8" s="3">
        <f t="shared" si="0"/>
        <v>51.4</v>
      </c>
      <c r="I8" s="3">
        <f t="shared" si="0"/>
        <v>81.47</v>
      </c>
      <c r="L8">
        <v>2.6</v>
      </c>
      <c r="M8">
        <v>0.5</v>
      </c>
      <c r="N8">
        <v>1</v>
      </c>
      <c r="O8" t="s">
        <v>15</v>
      </c>
      <c r="P8">
        <v>2.9</v>
      </c>
      <c r="Q8">
        <v>2.06</v>
      </c>
      <c r="R8">
        <v>1.46</v>
      </c>
      <c r="S8">
        <v>1.01</v>
      </c>
      <c r="T8">
        <v>0.67</v>
      </c>
      <c r="U8">
        <v>0.57999999999999996</v>
      </c>
      <c r="V8">
        <v>0.74</v>
      </c>
    </row>
    <row r="9" spans="1:22" x14ac:dyDescent="0.2">
      <c r="A9" s="66" t="s">
        <v>20</v>
      </c>
      <c r="B9" s="66"/>
      <c r="C9" s="66"/>
      <c r="D9" s="66"/>
      <c r="E9" s="66"/>
      <c r="F9" s="7"/>
      <c r="G9" s="7"/>
      <c r="H9" s="7"/>
      <c r="I9" s="7"/>
      <c r="L9">
        <v>2.6</v>
      </c>
      <c r="M9">
        <v>0.5</v>
      </c>
      <c r="N9">
        <v>1</v>
      </c>
      <c r="O9" t="s">
        <v>16</v>
      </c>
      <c r="P9">
        <v>100</v>
      </c>
      <c r="Q9">
        <v>100</v>
      </c>
      <c r="R9">
        <v>99.9</v>
      </c>
      <c r="S9">
        <v>42.8</v>
      </c>
      <c r="T9">
        <v>5.5</v>
      </c>
      <c r="U9">
        <v>8.6</v>
      </c>
      <c r="V9">
        <v>39.04</v>
      </c>
    </row>
    <row r="10" spans="1:22" x14ac:dyDescent="0.2">
      <c r="B10" t="s">
        <v>25</v>
      </c>
      <c r="C10" s="2">
        <f t="shared" ref="C10:I11" si="1">P8</f>
        <v>2.9</v>
      </c>
      <c r="D10" s="2">
        <f t="shared" si="1"/>
        <v>2.06</v>
      </c>
      <c r="E10" s="2">
        <f t="shared" si="1"/>
        <v>1.46</v>
      </c>
      <c r="F10" s="2">
        <f t="shared" si="1"/>
        <v>1.01</v>
      </c>
      <c r="G10" s="2">
        <f t="shared" si="1"/>
        <v>0.67</v>
      </c>
      <c r="H10" s="2">
        <f t="shared" si="1"/>
        <v>0.57999999999999996</v>
      </c>
      <c r="I10" s="2">
        <f t="shared" si="1"/>
        <v>0.74</v>
      </c>
      <c r="L10">
        <v>2.6</v>
      </c>
      <c r="M10">
        <v>0.5</v>
      </c>
      <c r="N10">
        <v>0.5</v>
      </c>
      <c r="O10" t="s">
        <v>6</v>
      </c>
      <c r="P10">
        <v>6.9</v>
      </c>
      <c r="Q10">
        <v>9.81</v>
      </c>
      <c r="R10">
        <v>14.1</v>
      </c>
      <c r="S10">
        <v>21.19</v>
      </c>
      <c r="T10">
        <v>35.619999999999997</v>
      </c>
      <c r="U10">
        <v>51.4</v>
      </c>
      <c r="V10">
        <v>81.47</v>
      </c>
    </row>
    <row r="11" spans="1:22" x14ac:dyDescent="0.2">
      <c r="B11" t="s">
        <v>26</v>
      </c>
      <c r="C11" s="3">
        <f t="shared" si="1"/>
        <v>100</v>
      </c>
      <c r="D11" s="3">
        <f t="shared" si="1"/>
        <v>100</v>
      </c>
      <c r="E11" s="3">
        <f t="shared" si="1"/>
        <v>99.9</v>
      </c>
      <c r="F11" s="3">
        <f t="shared" si="1"/>
        <v>42.8</v>
      </c>
      <c r="G11" s="3">
        <f t="shared" si="1"/>
        <v>5.5</v>
      </c>
      <c r="H11" s="3">
        <f t="shared" si="1"/>
        <v>8.6</v>
      </c>
      <c r="I11" s="3">
        <f t="shared" si="1"/>
        <v>39.04</v>
      </c>
      <c r="L11">
        <v>2.6</v>
      </c>
      <c r="M11">
        <v>0.5</v>
      </c>
      <c r="N11">
        <v>0.5</v>
      </c>
      <c r="O11" t="s">
        <v>15</v>
      </c>
      <c r="P11">
        <v>5.86</v>
      </c>
      <c r="Q11">
        <v>4.18</v>
      </c>
      <c r="R11">
        <v>2.96</v>
      </c>
      <c r="S11">
        <v>2.06</v>
      </c>
      <c r="T11">
        <v>1.39</v>
      </c>
      <c r="U11">
        <v>1.1599999999999999</v>
      </c>
      <c r="V11">
        <v>1</v>
      </c>
    </row>
    <row r="12" spans="1:22" x14ac:dyDescent="0.2">
      <c r="A12" s="66" t="s">
        <v>21</v>
      </c>
      <c r="B12" s="66"/>
      <c r="C12" s="66"/>
      <c r="D12" s="66"/>
      <c r="E12" s="66"/>
      <c r="L12">
        <v>2.6</v>
      </c>
      <c r="M12">
        <v>0.5</v>
      </c>
      <c r="N12">
        <v>0.5</v>
      </c>
      <c r="O12" t="s">
        <v>16</v>
      </c>
      <c r="P12">
        <v>100</v>
      </c>
      <c r="Q12">
        <v>100</v>
      </c>
      <c r="R12">
        <v>100</v>
      </c>
      <c r="S12">
        <v>100</v>
      </c>
      <c r="T12">
        <v>93.2</v>
      </c>
      <c r="U12">
        <v>54.4</v>
      </c>
      <c r="V12">
        <v>65.17</v>
      </c>
    </row>
    <row r="13" spans="1:22" x14ac:dyDescent="0.2">
      <c r="B13" t="s">
        <v>25</v>
      </c>
      <c r="C13" s="2">
        <f>P11</f>
        <v>5.86</v>
      </c>
      <c r="D13" s="2">
        <f t="shared" ref="D13:D14" si="2">Q11</f>
        <v>4.18</v>
      </c>
      <c r="E13" s="2">
        <f t="shared" ref="E13:E14" si="3">R11</f>
        <v>2.96</v>
      </c>
      <c r="F13" s="2">
        <f t="shared" ref="F13:F14" si="4">S11</f>
        <v>2.06</v>
      </c>
      <c r="G13" s="2">
        <f t="shared" ref="G13:G14" si="5">T11</f>
        <v>1.39</v>
      </c>
      <c r="H13" s="2">
        <f t="shared" ref="H13:H14" si="6">U11</f>
        <v>1.1599999999999999</v>
      </c>
      <c r="I13" s="2">
        <f t="shared" ref="I13:I14" si="7">V11</f>
        <v>1</v>
      </c>
      <c r="L13">
        <v>2.6</v>
      </c>
      <c r="M13">
        <v>0.25</v>
      </c>
      <c r="N13">
        <v>1</v>
      </c>
      <c r="O13" t="s">
        <v>6</v>
      </c>
      <c r="P13">
        <v>13.94</v>
      </c>
      <c r="Q13">
        <v>19.11</v>
      </c>
      <c r="R13">
        <v>26.01</v>
      </c>
      <c r="S13">
        <v>36.31</v>
      </c>
      <c r="T13">
        <v>53.75</v>
      </c>
      <c r="U13">
        <v>69.03</v>
      </c>
      <c r="V13">
        <v>90.62</v>
      </c>
    </row>
    <row r="14" spans="1:22" x14ac:dyDescent="0.2">
      <c r="A14" s="1"/>
      <c r="B14" s="1" t="s">
        <v>26</v>
      </c>
      <c r="C14" s="6">
        <f t="shared" ref="C14" si="8">P12</f>
        <v>100</v>
      </c>
      <c r="D14" s="6">
        <f t="shared" si="2"/>
        <v>100</v>
      </c>
      <c r="E14" s="6">
        <f t="shared" si="3"/>
        <v>100</v>
      </c>
      <c r="F14" s="6">
        <f t="shared" si="4"/>
        <v>100</v>
      </c>
      <c r="G14" s="6">
        <f t="shared" si="5"/>
        <v>93.2</v>
      </c>
      <c r="H14" s="6">
        <f t="shared" si="6"/>
        <v>54.4</v>
      </c>
      <c r="I14" s="6">
        <f t="shared" si="7"/>
        <v>65.17</v>
      </c>
      <c r="L14">
        <v>2.6</v>
      </c>
      <c r="M14">
        <v>0.25</v>
      </c>
      <c r="N14">
        <v>1</v>
      </c>
      <c r="O14" t="s">
        <v>15</v>
      </c>
      <c r="P14">
        <v>5.25</v>
      </c>
      <c r="Q14">
        <v>3.94</v>
      </c>
      <c r="R14">
        <v>3</v>
      </c>
      <c r="S14">
        <v>2.2799999999999998</v>
      </c>
      <c r="T14">
        <v>1.63</v>
      </c>
      <c r="U14">
        <v>1.33</v>
      </c>
      <c r="V14">
        <v>1.05</v>
      </c>
    </row>
    <row r="15" spans="1:22" x14ac:dyDescent="0.2">
      <c r="A15" s="1"/>
      <c r="B15" s="1"/>
      <c r="C15" s="1"/>
      <c r="D15" s="1"/>
      <c r="E15" s="1"/>
      <c r="F15" s="1"/>
      <c r="G15" s="1"/>
      <c r="H15" s="1"/>
      <c r="I15" s="1"/>
      <c r="L15">
        <v>2.6</v>
      </c>
      <c r="M15">
        <v>0.25</v>
      </c>
      <c r="N15">
        <v>1</v>
      </c>
      <c r="O15" t="s">
        <v>16</v>
      </c>
      <c r="P15">
        <v>100</v>
      </c>
      <c r="Q15">
        <v>99.9</v>
      </c>
      <c r="R15">
        <v>99.8</v>
      </c>
      <c r="S15">
        <v>97.2</v>
      </c>
      <c r="T15">
        <v>90.3</v>
      </c>
      <c r="U15">
        <v>88.3</v>
      </c>
      <c r="V15">
        <v>89.23</v>
      </c>
    </row>
    <row r="16" spans="1:22" x14ac:dyDescent="0.2">
      <c r="A16" s="65" t="s">
        <v>17</v>
      </c>
      <c r="B16" s="65"/>
      <c r="C16" s="65"/>
      <c r="D16" s="65"/>
      <c r="E16" s="65"/>
      <c r="F16" s="65"/>
      <c r="G16" s="65"/>
      <c r="H16" s="65"/>
      <c r="I16" s="65"/>
      <c r="L16">
        <v>2.6</v>
      </c>
      <c r="M16">
        <v>0.25</v>
      </c>
      <c r="N16">
        <v>0.5</v>
      </c>
      <c r="O16" t="s">
        <v>6</v>
      </c>
      <c r="P16">
        <v>13.94</v>
      </c>
      <c r="Q16">
        <v>19.11</v>
      </c>
      <c r="R16">
        <v>26.01</v>
      </c>
      <c r="S16">
        <v>36.31</v>
      </c>
      <c r="T16">
        <v>53.75</v>
      </c>
      <c r="U16">
        <v>69.03</v>
      </c>
      <c r="V16">
        <v>90.62</v>
      </c>
    </row>
    <row r="17" spans="1:22" x14ac:dyDescent="0.2">
      <c r="C17" s="67" t="s">
        <v>34</v>
      </c>
      <c r="D17" s="67"/>
      <c r="E17" s="67"/>
      <c r="F17" s="67"/>
      <c r="G17" s="67"/>
      <c r="H17" s="67"/>
      <c r="I17" s="67"/>
      <c r="L17">
        <v>2.6</v>
      </c>
      <c r="M17">
        <v>0.25</v>
      </c>
      <c r="N17">
        <v>0.5</v>
      </c>
      <c r="O17" t="s">
        <v>15</v>
      </c>
      <c r="P17">
        <v>7.05</v>
      </c>
      <c r="Q17">
        <v>5.16</v>
      </c>
      <c r="R17">
        <v>3.8</v>
      </c>
      <c r="S17">
        <v>2.73</v>
      </c>
      <c r="T17">
        <v>1.85</v>
      </c>
      <c r="U17">
        <v>1.44</v>
      </c>
      <c r="V17">
        <v>1.0900000000000001</v>
      </c>
    </row>
    <row r="18" spans="1:22" x14ac:dyDescent="0.2">
      <c r="C18" s="1">
        <v>50</v>
      </c>
      <c r="D18" s="1">
        <v>60</v>
      </c>
      <c r="E18" s="1">
        <v>70</v>
      </c>
      <c r="F18" s="1">
        <v>80</v>
      </c>
      <c r="G18" s="1">
        <v>90</v>
      </c>
      <c r="H18" s="1">
        <v>95</v>
      </c>
      <c r="I18" s="1">
        <v>99</v>
      </c>
      <c r="L18">
        <v>2.6</v>
      </c>
      <c r="M18">
        <v>0.25</v>
      </c>
      <c r="N18">
        <v>0.5</v>
      </c>
      <c r="O18" t="s">
        <v>16</v>
      </c>
      <c r="P18">
        <v>100</v>
      </c>
      <c r="Q18">
        <v>100</v>
      </c>
      <c r="R18">
        <v>100</v>
      </c>
      <c r="S18">
        <v>100</v>
      </c>
      <c r="T18">
        <v>99.9</v>
      </c>
      <c r="U18">
        <v>99.6</v>
      </c>
      <c r="V18">
        <v>97.1</v>
      </c>
    </row>
    <row r="19" spans="1:22" x14ac:dyDescent="0.2">
      <c r="A19" s="66" t="s">
        <v>23</v>
      </c>
      <c r="B19" s="66"/>
      <c r="C19" s="66"/>
      <c r="D19" s="66"/>
      <c r="E19" s="66"/>
    </row>
    <row r="20" spans="1:22" x14ac:dyDescent="0.2">
      <c r="B20" t="s">
        <v>24</v>
      </c>
      <c r="C20" s="3">
        <f>P13</f>
        <v>13.94</v>
      </c>
      <c r="D20" s="3">
        <f t="shared" ref="D20:I20" si="9">Q13</f>
        <v>19.11</v>
      </c>
      <c r="E20" s="3">
        <f t="shared" si="9"/>
        <v>26.01</v>
      </c>
      <c r="F20" s="3">
        <f t="shared" si="9"/>
        <v>36.31</v>
      </c>
      <c r="G20" s="3">
        <f t="shared" si="9"/>
        <v>53.75</v>
      </c>
      <c r="H20" s="3">
        <f t="shared" si="9"/>
        <v>69.03</v>
      </c>
      <c r="I20" s="3">
        <f t="shared" si="9"/>
        <v>90.62</v>
      </c>
    </row>
    <row r="21" spans="1:22" x14ac:dyDescent="0.2">
      <c r="A21" s="66" t="s">
        <v>20</v>
      </c>
      <c r="B21" s="66"/>
      <c r="C21" s="66"/>
      <c r="D21" s="66"/>
      <c r="E21" s="66"/>
      <c r="F21" s="7"/>
      <c r="G21" s="7"/>
      <c r="H21" s="7"/>
      <c r="I21" s="7"/>
    </row>
    <row r="22" spans="1:22" x14ac:dyDescent="0.2">
      <c r="B22" t="s">
        <v>25</v>
      </c>
      <c r="C22" s="2">
        <f>P14</f>
        <v>5.25</v>
      </c>
      <c r="D22" s="2">
        <f t="shared" ref="D22:I22" si="10">Q14</f>
        <v>3.94</v>
      </c>
      <c r="E22" s="2">
        <f t="shared" si="10"/>
        <v>3</v>
      </c>
      <c r="F22" s="2">
        <f t="shared" si="10"/>
        <v>2.2799999999999998</v>
      </c>
      <c r="G22" s="2">
        <f t="shared" si="10"/>
        <v>1.63</v>
      </c>
      <c r="H22" s="2">
        <f t="shared" si="10"/>
        <v>1.33</v>
      </c>
      <c r="I22" s="2">
        <f t="shared" si="10"/>
        <v>1.05</v>
      </c>
    </row>
    <row r="23" spans="1:22" x14ac:dyDescent="0.2">
      <c r="B23" t="s">
        <v>26</v>
      </c>
      <c r="C23" s="3">
        <f t="shared" ref="C23:I23" si="11">P15</f>
        <v>100</v>
      </c>
      <c r="D23" s="3">
        <f t="shared" si="11"/>
        <v>99.9</v>
      </c>
      <c r="E23" s="3">
        <f t="shared" si="11"/>
        <v>99.8</v>
      </c>
      <c r="F23" s="3">
        <f t="shared" si="11"/>
        <v>97.2</v>
      </c>
      <c r="G23" s="3">
        <f t="shared" si="11"/>
        <v>90.3</v>
      </c>
      <c r="H23" s="3">
        <f t="shared" si="11"/>
        <v>88.3</v>
      </c>
      <c r="I23" s="3">
        <f t="shared" si="11"/>
        <v>89.23</v>
      </c>
    </row>
    <row r="24" spans="1:22" x14ac:dyDescent="0.2">
      <c r="A24" s="66" t="s">
        <v>21</v>
      </c>
      <c r="B24" s="66"/>
      <c r="C24" s="66"/>
      <c r="D24" s="66"/>
      <c r="E24" s="66"/>
    </row>
    <row r="25" spans="1:22" x14ac:dyDescent="0.2">
      <c r="B25" t="s">
        <v>25</v>
      </c>
      <c r="C25" s="2">
        <f>P17</f>
        <v>7.05</v>
      </c>
      <c r="D25" s="2">
        <f t="shared" ref="D25:I25" si="12">Q17</f>
        <v>5.16</v>
      </c>
      <c r="E25" s="2">
        <f t="shared" si="12"/>
        <v>3.8</v>
      </c>
      <c r="F25" s="2">
        <f t="shared" si="12"/>
        <v>2.73</v>
      </c>
      <c r="G25" s="2">
        <f t="shared" si="12"/>
        <v>1.85</v>
      </c>
      <c r="H25" s="2">
        <f t="shared" si="12"/>
        <v>1.44</v>
      </c>
      <c r="I25" s="2">
        <f t="shared" si="12"/>
        <v>1.0900000000000001</v>
      </c>
    </row>
    <row r="26" spans="1:22" x14ac:dyDescent="0.2">
      <c r="A26" s="1"/>
      <c r="B26" s="1" t="s">
        <v>26</v>
      </c>
      <c r="C26" s="6">
        <f t="shared" ref="C26:I26" si="13">P18</f>
        <v>100</v>
      </c>
      <c r="D26" s="6">
        <f t="shared" si="13"/>
        <v>100</v>
      </c>
      <c r="E26" s="6">
        <f t="shared" si="13"/>
        <v>100</v>
      </c>
      <c r="F26" s="6">
        <f t="shared" si="13"/>
        <v>100</v>
      </c>
      <c r="G26" s="6">
        <f t="shared" si="13"/>
        <v>99.9</v>
      </c>
      <c r="H26" s="6">
        <f t="shared" si="13"/>
        <v>99.6</v>
      </c>
      <c r="I26" s="6">
        <f t="shared" si="13"/>
        <v>97.1</v>
      </c>
    </row>
  </sheetData>
  <mergeCells count="10">
    <mergeCell ref="A24:E24"/>
    <mergeCell ref="A19:E19"/>
    <mergeCell ref="A21:E21"/>
    <mergeCell ref="C5:I5"/>
    <mergeCell ref="C17:I17"/>
    <mergeCell ref="A4:I4"/>
    <mergeCell ref="A16:I16"/>
    <mergeCell ref="A7:E7"/>
    <mergeCell ref="A9:E9"/>
    <mergeCell ref="A12:E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531B-BA5C-4F7F-BC7C-E939B1EE1967}">
  <dimension ref="A1:V26"/>
  <sheetViews>
    <sheetView workbookViewId="0">
      <selection activeCell="F19" sqref="F19"/>
    </sheetView>
  </sheetViews>
  <sheetFormatPr baseColWidth="10" defaultColWidth="8.83203125" defaultRowHeight="15" x14ac:dyDescent="0.2"/>
  <cols>
    <col min="2" max="2" width="25.5" customWidth="1"/>
  </cols>
  <sheetData>
    <row r="1" spans="1:22" x14ac:dyDescent="0.2">
      <c r="A1" t="s">
        <v>27</v>
      </c>
    </row>
    <row r="3" spans="1:22" x14ac:dyDescent="0.2">
      <c r="A3" s="1"/>
      <c r="B3" s="1"/>
      <c r="C3" s="1"/>
      <c r="D3" s="1"/>
      <c r="E3" s="1"/>
      <c r="F3" s="1"/>
      <c r="G3" s="1"/>
      <c r="H3" s="1"/>
      <c r="I3" s="1"/>
    </row>
    <row r="4" spans="1:22" x14ac:dyDescent="0.2">
      <c r="A4" s="64" t="s">
        <v>36</v>
      </c>
      <c r="B4" s="64"/>
      <c r="C4" s="64"/>
      <c r="D4" s="64"/>
      <c r="E4" s="64"/>
      <c r="F4" s="64"/>
      <c r="G4" s="64"/>
      <c r="H4" s="64"/>
      <c r="I4" s="64"/>
    </row>
    <row r="5" spans="1:22" x14ac:dyDescent="0.2">
      <c r="C5" s="67" t="s">
        <v>34</v>
      </c>
      <c r="D5" s="67"/>
      <c r="E5" s="67"/>
      <c r="F5" s="67"/>
      <c r="G5" s="67"/>
      <c r="H5" s="67"/>
      <c r="I5" s="67"/>
      <c r="L5" t="s">
        <v>19</v>
      </c>
    </row>
    <row r="6" spans="1:22" x14ac:dyDescent="0.2">
      <c r="C6" s="1">
        <v>50</v>
      </c>
      <c r="D6" s="1">
        <v>60</v>
      </c>
      <c r="E6" s="1">
        <v>70</v>
      </c>
      <c r="F6" s="1">
        <v>80</v>
      </c>
      <c r="G6" s="1">
        <v>90</v>
      </c>
      <c r="H6" s="1">
        <v>95</v>
      </c>
      <c r="I6" s="1">
        <v>99</v>
      </c>
      <c r="L6" t="s">
        <v>10</v>
      </c>
      <c r="M6" t="s">
        <v>0</v>
      </c>
      <c r="N6" t="s">
        <v>11</v>
      </c>
      <c r="O6" t="s">
        <v>1</v>
      </c>
      <c r="P6" t="s">
        <v>2</v>
      </c>
      <c r="Q6" t="s">
        <v>12</v>
      </c>
      <c r="R6" t="s">
        <v>13</v>
      </c>
      <c r="S6" t="s">
        <v>14</v>
      </c>
      <c r="T6" t="s">
        <v>3</v>
      </c>
      <c r="U6" t="s">
        <v>4</v>
      </c>
      <c r="V6" t="s">
        <v>5</v>
      </c>
    </row>
    <row r="7" spans="1:22" x14ac:dyDescent="0.2">
      <c r="A7" s="66" t="s">
        <v>23</v>
      </c>
      <c r="B7" s="66"/>
      <c r="C7" s="66"/>
      <c r="D7" s="66"/>
      <c r="E7" s="66"/>
      <c r="L7">
        <v>5</v>
      </c>
      <c r="M7">
        <v>0.5</v>
      </c>
      <c r="N7">
        <v>1</v>
      </c>
      <c r="O7" t="s">
        <v>6</v>
      </c>
      <c r="P7">
        <v>6.88</v>
      </c>
      <c r="Q7">
        <v>9.81</v>
      </c>
      <c r="R7">
        <v>14.12</v>
      </c>
      <c r="S7">
        <v>21.2</v>
      </c>
      <c r="T7">
        <v>35.590000000000003</v>
      </c>
      <c r="U7">
        <v>51.38</v>
      </c>
      <c r="V7">
        <v>81.56</v>
      </c>
    </row>
    <row r="8" spans="1:22" x14ac:dyDescent="0.2">
      <c r="B8" t="s">
        <v>24</v>
      </c>
      <c r="C8" s="3">
        <f>P7</f>
        <v>6.88</v>
      </c>
      <c r="D8" s="3">
        <f t="shared" ref="D8:I8" si="0">Q7</f>
        <v>9.81</v>
      </c>
      <c r="E8" s="3">
        <f t="shared" si="0"/>
        <v>14.12</v>
      </c>
      <c r="F8" s="3">
        <f t="shared" si="0"/>
        <v>21.2</v>
      </c>
      <c r="G8" s="3">
        <f t="shared" si="0"/>
        <v>35.590000000000003</v>
      </c>
      <c r="H8" s="3">
        <f t="shared" si="0"/>
        <v>51.38</v>
      </c>
      <c r="I8" s="3">
        <f t="shared" si="0"/>
        <v>81.56</v>
      </c>
      <c r="L8">
        <v>5</v>
      </c>
      <c r="M8">
        <v>0.5</v>
      </c>
      <c r="N8">
        <v>1</v>
      </c>
      <c r="O8" t="s">
        <v>15</v>
      </c>
      <c r="P8">
        <v>2.2000000000000002</v>
      </c>
      <c r="Q8">
        <v>1.55</v>
      </c>
      <c r="R8">
        <v>1.0900000000000001</v>
      </c>
      <c r="S8">
        <v>0.75</v>
      </c>
      <c r="T8">
        <v>0.49</v>
      </c>
      <c r="U8">
        <v>0.4</v>
      </c>
      <c r="V8">
        <v>0.56999999999999995</v>
      </c>
    </row>
    <row r="9" spans="1:22" x14ac:dyDescent="0.2">
      <c r="A9" s="66" t="s">
        <v>20</v>
      </c>
      <c r="B9" s="66"/>
      <c r="C9" s="66"/>
      <c r="D9" s="66"/>
      <c r="E9" s="66"/>
      <c r="F9" s="7"/>
      <c r="G9" s="7"/>
      <c r="H9" s="7"/>
      <c r="I9" s="7"/>
      <c r="L9">
        <v>5</v>
      </c>
      <c r="M9">
        <v>0.5</v>
      </c>
      <c r="N9">
        <v>1</v>
      </c>
      <c r="O9" t="s">
        <v>16</v>
      </c>
      <c r="P9">
        <v>100</v>
      </c>
      <c r="Q9">
        <v>100</v>
      </c>
      <c r="R9">
        <v>75.5</v>
      </c>
      <c r="S9">
        <v>2.7</v>
      </c>
      <c r="T9">
        <v>0.6</v>
      </c>
      <c r="U9">
        <v>1.2</v>
      </c>
      <c r="V9">
        <v>23.05</v>
      </c>
    </row>
    <row r="10" spans="1:22" x14ac:dyDescent="0.2">
      <c r="B10" t="s">
        <v>25</v>
      </c>
      <c r="C10" s="2">
        <f t="shared" ref="C10:I11" si="1">P8</f>
        <v>2.2000000000000002</v>
      </c>
      <c r="D10" s="2">
        <f t="shared" si="1"/>
        <v>1.55</v>
      </c>
      <c r="E10" s="2">
        <f t="shared" si="1"/>
        <v>1.0900000000000001</v>
      </c>
      <c r="F10" s="2">
        <f t="shared" si="1"/>
        <v>0.75</v>
      </c>
      <c r="G10" s="2">
        <f t="shared" si="1"/>
        <v>0.49</v>
      </c>
      <c r="H10" s="2">
        <f t="shared" si="1"/>
        <v>0.4</v>
      </c>
      <c r="I10" s="2">
        <f t="shared" si="1"/>
        <v>0.56999999999999995</v>
      </c>
      <c r="L10">
        <v>5</v>
      </c>
      <c r="M10">
        <v>0.5</v>
      </c>
      <c r="N10">
        <v>0.5</v>
      </c>
      <c r="O10" t="s">
        <v>6</v>
      </c>
      <c r="P10">
        <v>6.88</v>
      </c>
      <c r="Q10">
        <v>9.81</v>
      </c>
      <c r="R10">
        <v>14.12</v>
      </c>
      <c r="S10">
        <v>21.2</v>
      </c>
      <c r="T10">
        <v>35.590000000000003</v>
      </c>
      <c r="U10">
        <v>51.38</v>
      </c>
      <c r="V10">
        <v>81.56</v>
      </c>
    </row>
    <row r="11" spans="1:22" x14ac:dyDescent="0.2">
      <c r="B11" t="s">
        <v>26</v>
      </c>
      <c r="C11" s="3">
        <f t="shared" si="1"/>
        <v>100</v>
      </c>
      <c r="D11" s="3">
        <f t="shared" si="1"/>
        <v>100</v>
      </c>
      <c r="E11" s="3">
        <f t="shared" si="1"/>
        <v>75.5</v>
      </c>
      <c r="F11" s="3">
        <f t="shared" si="1"/>
        <v>2.7</v>
      </c>
      <c r="G11" s="3">
        <f t="shared" si="1"/>
        <v>0.6</v>
      </c>
      <c r="H11" s="3">
        <f t="shared" si="1"/>
        <v>1.2</v>
      </c>
      <c r="I11" s="3">
        <f t="shared" si="1"/>
        <v>23.05</v>
      </c>
      <c r="L11">
        <v>5</v>
      </c>
      <c r="M11">
        <v>0.5</v>
      </c>
      <c r="N11">
        <v>0.5</v>
      </c>
      <c r="O11" t="s">
        <v>15</v>
      </c>
      <c r="P11">
        <v>4.18</v>
      </c>
      <c r="Q11">
        <v>2.95</v>
      </c>
      <c r="R11">
        <v>2.09</v>
      </c>
      <c r="S11">
        <v>1.44</v>
      </c>
      <c r="T11">
        <v>0.96</v>
      </c>
      <c r="U11">
        <v>0.79</v>
      </c>
      <c r="V11">
        <v>0.84</v>
      </c>
    </row>
    <row r="12" spans="1:22" x14ac:dyDescent="0.2">
      <c r="A12" s="66" t="s">
        <v>21</v>
      </c>
      <c r="B12" s="66"/>
      <c r="C12" s="66"/>
      <c r="D12" s="66"/>
      <c r="E12" s="66"/>
      <c r="L12">
        <v>5</v>
      </c>
      <c r="M12">
        <v>0.5</v>
      </c>
      <c r="N12">
        <v>0.5</v>
      </c>
      <c r="O12" t="s">
        <v>16</v>
      </c>
      <c r="P12">
        <v>100</v>
      </c>
      <c r="Q12">
        <v>100</v>
      </c>
      <c r="R12">
        <v>100</v>
      </c>
      <c r="S12">
        <v>99.8</v>
      </c>
      <c r="T12">
        <v>28.6</v>
      </c>
      <c r="U12">
        <v>18.2</v>
      </c>
      <c r="V12">
        <v>45.3</v>
      </c>
    </row>
    <row r="13" spans="1:22" x14ac:dyDescent="0.2">
      <c r="B13" t="s">
        <v>25</v>
      </c>
      <c r="C13" s="2">
        <f>P11</f>
        <v>4.18</v>
      </c>
      <c r="D13" s="2">
        <f t="shared" ref="D13:I14" si="2">Q11</f>
        <v>2.95</v>
      </c>
      <c r="E13" s="2">
        <f t="shared" si="2"/>
        <v>2.09</v>
      </c>
      <c r="F13" s="2">
        <f t="shared" si="2"/>
        <v>1.44</v>
      </c>
      <c r="G13" s="2">
        <f t="shared" si="2"/>
        <v>0.96</v>
      </c>
      <c r="H13" s="2">
        <f t="shared" si="2"/>
        <v>0.79</v>
      </c>
      <c r="I13" s="2">
        <f t="shared" si="2"/>
        <v>0.84</v>
      </c>
      <c r="L13">
        <v>5</v>
      </c>
      <c r="M13">
        <v>0.25</v>
      </c>
      <c r="N13">
        <v>1</v>
      </c>
      <c r="O13" t="s">
        <v>6</v>
      </c>
      <c r="P13">
        <v>13.89</v>
      </c>
      <c r="Q13">
        <v>19.04</v>
      </c>
      <c r="R13">
        <v>26.05</v>
      </c>
      <c r="S13">
        <v>36.299999999999997</v>
      </c>
      <c r="T13">
        <v>53.76</v>
      </c>
      <c r="U13">
        <v>69.11</v>
      </c>
      <c r="V13">
        <v>90.61</v>
      </c>
    </row>
    <row r="14" spans="1:22" x14ac:dyDescent="0.2">
      <c r="A14" s="1"/>
      <c r="B14" s="1" t="s">
        <v>26</v>
      </c>
      <c r="C14" s="6">
        <f t="shared" ref="C14" si="3">P12</f>
        <v>100</v>
      </c>
      <c r="D14" s="6">
        <f t="shared" si="2"/>
        <v>100</v>
      </c>
      <c r="E14" s="6">
        <f t="shared" si="2"/>
        <v>100</v>
      </c>
      <c r="F14" s="6">
        <f t="shared" si="2"/>
        <v>99.8</v>
      </c>
      <c r="G14" s="6">
        <f t="shared" si="2"/>
        <v>28.6</v>
      </c>
      <c r="H14" s="6">
        <f t="shared" si="2"/>
        <v>18.2</v>
      </c>
      <c r="I14" s="6">
        <f t="shared" si="2"/>
        <v>45.3</v>
      </c>
      <c r="L14">
        <v>5</v>
      </c>
      <c r="M14">
        <v>0.25</v>
      </c>
      <c r="N14">
        <v>1</v>
      </c>
      <c r="O14" t="s">
        <v>15</v>
      </c>
      <c r="P14">
        <v>4.13</v>
      </c>
      <c r="Q14">
        <v>3.11</v>
      </c>
      <c r="R14">
        <v>2.39</v>
      </c>
      <c r="S14">
        <v>1.85</v>
      </c>
      <c r="T14">
        <v>1.43</v>
      </c>
      <c r="U14">
        <v>1.2</v>
      </c>
      <c r="V14">
        <v>1.02</v>
      </c>
    </row>
    <row r="15" spans="1:22" x14ac:dyDescent="0.2">
      <c r="A15" s="1"/>
      <c r="B15" s="1"/>
      <c r="C15" s="1"/>
      <c r="D15" s="1"/>
      <c r="E15" s="1"/>
      <c r="F15" s="1"/>
      <c r="G15" s="1"/>
      <c r="H15" s="1"/>
      <c r="I15" s="1"/>
      <c r="L15">
        <v>5</v>
      </c>
      <c r="M15">
        <v>0.25</v>
      </c>
      <c r="N15">
        <v>1</v>
      </c>
      <c r="O15" t="s">
        <v>16</v>
      </c>
      <c r="P15">
        <v>100</v>
      </c>
      <c r="Q15">
        <v>99.6</v>
      </c>
      <c r="R15">
        <v>96.7</v>
      </c>
      <c r="S15">
        <v>88.3</v>
      </c>
      <c r="T15">
        <v>76.5</v>
      </c>
      <c r="U15">
        <v>72.27</v>
      </c>
      <c r="V15">
        <v>85.95</v>
      </c>
    </row>
    <row r="16" spans="1:22" x14ac:dyDescent="0.2">
      <c r="A16" s="65" t="s">
        <v>17</v>
      </c>
      <c r="B16" s="65"/>
      <c r="C16" s="65"/>
      <c r="D16" s="65"/>
      <c r="E16" s="65"/>
      <c r="F16" s="65"/>
      <c r="G16" s="65"/>
      <c r="H16" s="65"/>
      <c r="I16" s="65"/>
      <c r="L16">
        <v>5</v>
      </c>
      <c r="M16">
        <v>0.25</v>
      </c>
      <c r="N16">
        <v>0.5</v>
      </c>
      <c r="O16" t="s">
        <v>6</v>
      </c>
      <c r="P16">
        <v>13.89</v>
      </c>
      <c r="Q16">
        <v>19.04</v>
      </c>
      <c r="R16">
        <v>26.05</v>
      </c>
      <c r="S16">
        <v>36.299999999999997</v>
      </c>
      <c r="T16">
        <v>53.76</v>
      </c>
      <c r="U16">
        <v>69.11</v>
      </c>
      <c r="V16">
        <v>90.61</v>
      </c>
    </row>
    <row r="17" spans="1:22" x14ac:dyDescent="0.2">
      <c r="C17" s="67" t="s">
        <v>34</v>
      </c>
      <c r="D17" s="67"/>
      <c r="E17" s="67"/>
      <c r="F17" s="67"/>
      <c r="G17" s="67"/>
      <c r="H17" s="67"/>
      <c r="I17" s="67"/>
      <c r="L17">
        <v>5</v>
      </c>
      <c r="M17">
        <v>0.25</v>
      </c>
      <c r="N17">
        <v>0.5</v>
      </c>
      <c r="O17" t="s">
        <v>15</v>
      </c>
      <c r="P17">
        <v>6.57</v>
      </c>
      <c r="Q17">
        <v>4.84</v>
      </c>
      <c r="R17">
        <v>3.58</v>
      </c>
      <c r="S17">
        <v>2.62</v>
      </c>
      <c r="T17">
        <v>1.78</v>
      </c>
      <c r="U17">
        <v>1.4</v>
      </c>
      <c r="V17">
        <v>1.08</v>
      </c>
    </row>
    <row r="18" spans="1:22" x14ac:dyDescent="0.2">
      <c r="C18" s="1">
        <v>50</v>
      </c>
      <c r="D18" s="1">
        <v>60</v>
      </c>
      <c r="E18" s="1">
        <v>70</v>
      </c>
      <c r="F18" s="1">
        <v>80</v>
      </c>
      <c r="G18" s="1">
        <v>90</v>
      </c>
      <c r="H18" s="1">
        <v>95</v>
      </c>
      <c r="I18" s="1">
        <v>99</v>
      </c>
      <c r="L18">
        <v>5</v>
      </c>
      <c r="M18">
        <v>0.25</v>
      </c>
      <c r="N18">
        <v>0.5</v>
      </c>
      <c r="O18" t="s">
        <v>16</v>
      </c>
      <c r="P18">
        <v>100</v>
      </c>
      <c r="Q18">
        <v>100</v>
      </c>
      <c r="R18">
        <v>100</v>
      </c>
      <c r="S18">
        <v>99.9</v>
      </c>
      <c r="T18">
        <v>98.1</v>
      </c>
      <c r="U18">
        <v>94.49</v>
      </c>
      <c r="V18">
        <v>94.23</v>
      </c>
    </row>
    <row r="19" spans="1:22" x14ac:dyDescent="0.2">
      <c r="A19" s="66" t="s">
        <v>23</v>
      </c>
      <c r="B19" s="66"/>
      <c r="C19" s="66"/>
      <c r="D19" s="66"/>
      <c r="E19" s="66"/>
    </row>
    <row r="20" spans="1:22" x14ac:dyDescent="0.2">
      <c r="B20" t="s">
        <v>24</v>
      </c>
      <c r="C20" s="3">
        <f>P13</f>
        <v>13.89</v>
      </c>
      <c r="D20" s="3">
        <f t="shared" ref="D20:I20" si="4">Q13</f>
        <v>19.04</v>
      </c>
      <c r="E20" s="3">
        <f t="shared" si="4"/>
        <v>26.05</v>
      </c>
      <c r="F20" s="3">
        <f t="shared" si="4"/>
        <v>36.299999999999997</v>
      </c>
      <c r="G20" s="3">
        <f t="shared" si="4"/>
        <v>53.76</v>
      </c>
      <c r="H20" s="3">
        <f t="shared" si="4"/>
        <v>69.11</v>
      </c>
      <c r="I20" s="3">
        <f t="shared" si="4"/>
        <v>90.61</v>
      </c>
    </row>
    <row r="21" spans="1:22" x14ac:dyDescent="0.2">
      <c r="A21" s="66" t="s">
        <v>20</v>
      </c>
      <c r="B21" s="66"/>
      <c r="C21" s="66"/>
      <c r="D21" s="66"/>
      <c r="E21" s="66"/>
      <c r="F21" s="7"/>
      <c r="G21" s="7"/>
      <c r="H21" s="7"/>
      <c r="I21" s="7"/>
    </row>
    <row r="22" spans="1:22" x14ac:dyDescent="0.2">
      <c r="B22" t="s">
        <v>25</v>
      </c>
      <c r="C22" s="2">
        <f>P14</f>
        <v>4.13</v>
      </c>
      <c r="D22" s="2">
        <f t="shared" ref="D22:I22" si="5">Q14</f>
        <v>3.11</v>
      </c>
      <c r="E22" s="2">
        <f t="shared" si="5"/>
        <v>2.39</v>
      </c>
      <c r="F22" s="2">
        <f t="shared" si="5"/>
        <v>1.85</v>
      </c>
      <c r="G22" s="2">
        <f t="shared" si="5"/>
        <v>1.43</v>
      </c>
      <c r="H22" s="2">
        <f t="shared" si="5"/>
        <v>1.2</v>
      </c>
      <c r="I22" s="2">
        <f t="shared" si="5"/>
        <v>1.02</v>
      </c>
    </row>
    <row r="23" spans="1:22" x14ac:dyDescent="0.2">
      <c r="B23" t="s">
        <v>26</v>
      </c>
      <c r="C23" s="3">
        <f t="shared" ref="C23:I23" si="6">P15</f>
        <v>100</v>
      </c>
      <c r="D23" s="3">
        <f t="shared" si="6"/>
        <v>99.6</v>
      </c>
      <c r="E23" s="3">
        <f t="shared" si="6"/>
        <v>96.7</v>
      </c>
      <c r="F23" s="3">
        <f t="shared" si="6"/>
        <v>88.3</v>
      </c>
      <c r="G23" s="3">
        <f t="shared" si="6"/>
        <v>76.5</v>
      </c>
      <c r="H23" s="3">
        <f t="shared" si="6"/>
        <v>72.27</v>
      </c>
      <c r="I23" s="3">
        <f t="shared" si="6"/>
        <v>85.95</v>
      </c>
    </row>
    <row r="24" spans="1:22" x14ac:dyDescent="0.2">
      <c r="A24" s="66" t="s">
        <v>21</v>
      </c>
      <c r="B24" s="66"/>
      <c r="C24" s="66"/>
      <c r="D24" s="66"/>
      <c r="E24" s="66"/>
    </row>
    <row r="25" spans="1:22" x14ac:dyDescent="0.2">
      <c r="B25" t="s">
        <v>25</v>
      </c>
      <c r="C25" s="2">
        <f>P17</f>
        <v>6.57</v>
      </c>
      <c r="D25" s="2">
        <f t="shared" ref="D25:I25" si="7">Q17</f>
        <v>4.84</v>
      </c>
      <c r="E25" s="2">
        <f t="shared" si="7"/>
        <v>3.58</v>
      </c>
      <c r="F25" s="2">
        <f t="shared" si="7"/>
        <v>2.62</v>
      </c>
      <c r="G25" s="2">
        <f t="shared" si="7"/>
        <v>1.78</v>
      </c>
      <c r="H25" s="2">
        <f t="shared" si="7"/>
        <v>1.4</v>
      </c>
      <c r="I25" s="2">
        <f t="shared" si="7"/>
        <v>1.08</v>
      </c>
    </row>
    <row r="26" spans="1:22" x14ac:dyDescent="0.2">
      <c r="A26" s="1"/>
      <c r="B26" s="1" t="s">
        <v>26</v>
      </c>
      <c r="C26" s="6">
        <f t="shared" ref="C26:I26" si="8">P18</f>
        <v>100</v>
      </c>
      <c r="D26" s="6">
        <f t="shared" si="8"/>
        <v>100</v>
      </c>
      <c r="E26" s="6">
        <f t="shared" si="8"/>
        <v>100</v>
      </c>
      <c r="F26" s="6">
        <f t="shared" si="8"/>
        <v>99.9</v>
      </c>
      <c r="G26" s="6">
        <f t="shared" si="8"/>
        <v>98.1</v>
      </c>
      <c r="H26" s="6">
        <f t="shared" si="8"/>
        <v>94.49</v>
      </c>
      <c r="I26" s="6">
        <f t="shared" si="8"/>
        <v>94.23</v>
      </c>
    </row>
  </sheetData>
  <mergeCells count="10">
    <mergeCell ref="C17:I17"/>
    <mergeCell ref="A19:E19"/>
    <mergeCell ref="A21:E21"/>
    <mergeCell ref="A24:E24"/>
    <mergeCell ref="A4:I4"/>
    <mergeCell ref="C5:I5"/>
    <mergeCell ref="A7:E7"/>
    <mergeCell ref="A9:E9"/>
    <mergeCell ref="A12:E12"/>
    <mergeCell ref="A16:I1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8910-BB49-4A55-8A93-871F125DFCDC}">
  <dimension ref="A2:D65"/>
  <sheetViews>
    <sheetView topLeftCell="A32" workbookViewId="0">
      <selection activeCell="A38" sqref="A38:D65"/>
    </sheetView>
  </sheetViews>
  <sheetFormatPr baseColWidth="10" defaultColWidth="8.83203125" defaultRowHeight="15" x14ac:dyDescent="0.2"/>
  <cols>
    <col min="1" max="1" width="27" customWidth="1"/>
    <col min="2" max="2" width="19.6640625" customWidth="1"/>
    <col min="3" max="3" width="30.1640625" bestFit="1" customWidth="1"/>
    <col min="4" max="4" width="41" customWidth="1"/>
  </cols>
  <sheetData>
    <row r="2" spans="1:4" x14ac:dyDescent="0.2">
      <c r="A2" s="10"/>
      <c r="B2" s="10"/>
      <c r="C2" s="68" t="s">
        <v>40</v>
      </c>
      <c r="D2" s="68"/>
    </row>
    <row r="3" spans="1:4" ht="16" x14ac:dyDescent="0.2">
      <c r="A3" s="10"/>
      <c r="B3" s="11"/>
      <c r="C3" s="11" t="s">
        <v>41</v>
      </c>
      <c r="D3" s="11" t="s">
        <v>42</v>
      </c>
    </row>
    <row r="4" spans="1:4" ht="32" x14ac:dyDescent="0.2">
      <c r="A4" s="68" t="s">
        <v>37</v>
      </c>
      <c r="B4" s="11" t="s">
        <v>38</v>
      </c>
      <c r="C4" s="11" t="s">
        <v>43</v>
      </c>
      <c r="D4" s="11" t="s">
        <v>44</v>
      </c>
    </row>
    <row r="5" spans="1:4" ht="32" x14ac:dyDescent="0.2">
      <c r="A5" s="68"/>
      <c r="B5" s="11" t="s">
        <v>39</v>
      </c>
      <c r="C5" s="11" t="s">
        <v>45</v>
      </c>
      <c r="D5" s="11" t="s">
        <v>42</v>
      </c>
    </row>
    <row r="8" spans="1:4" x14ac:dyDescent="0.2">
      <c r="A8" t="s">
        <v>46</v>
      </c>
    </row>
    <row r="10" spans="1:4" x14ac:dyDescent="0.2">
      <c r="C10" s="1"/>
      <c r="D10" s="1"/>
    </row>
    <row r="11" spans="1:4" x14ac:dyDescent="0.2">
      <c r="A11" s="10"/>
      <c r="B11" s="10"/>
      <c r="C11" s="73" t="s">
        <v>60</v>
      </c>
      <c r="D11" s="74"/>
    </row>
    <row r="12" spans="1:4" x14ac:dyDescent="0.2">
      <c r="A12" s="10"/>
      <c r="B12" s="10"/>
      <c r="C12" s="13" t="s">
        <v>48</v>
      </c>
      <c r="D12" s="14" t="s">
        <v>51</v>
      </c>
    </row>
    <row r="13" spans="1:4" x14ac:dyDescent="0.2">
      <c r="A13" s="8"/>
      <c r="B13" s="8"/>
      <c r="C13" s="13" t="s">
        <v>49</v>
      </c>
      <c r="D13" s="14" t="s">
        <v>49</v>
      </c>
    </row>
    <row r="14" spans="1:4" x14ac:dyDescent="0.2">
      <c r="A14" s="12"/>
      <c r="B14" s="12"/>
      <c r="C14" s="15" t="s">
        <v>47</v>
      </c>
      <c r="D14" s="16" t="s">
        <v>50</v>
      </c>
    </row>
    <row r="15" spans="1:4" x14ac:dyDescent="0.2">
      <c r="A15" s="8" t="s">
        <v>61</v>
      </c>
      <c r="B15" s="18" t="s">
        <v>52</v>
      </c>
      <c r="C15" s="69" t="s">
        <v>56</v>
      </c>
      <c r="D15" s="22" t="s">
        <v>57</v>
      </c>
    </row>
    <row r="16" spans="1:4" x14ac:dyDescent="0.2">
      <c r="A16" s="10" t="s">
        <v>62</v>
      </c>
      <c r="B16" s="21" t="s">
        <v>53</v>
      </c>
      <c r="C16" s="71"/>
      <c r="D16" s="23" t="s">
        <v>59</v>
      </c>
    </row>
    <row r="17" spans="1:4" x14ac:dyDescent="0.2">
      <c r="A17" s="8" t="s">
        <v>63</v>
      </c>
      <c r="B17" s="13" t="s">
        <v>54</v>
      </c>
      <c r="C17" s="13" t="s">
        <v>57</v>
      </c>
      <c r="D17" s="72" t="s">
        <v>56</v>
      </c>
    </row>
    <row r="18" spans="1:4" x14ac:dyDescent="0.2">
      <c r="A18" s="9" t="s">
        <v>61</v>
      </c>
      <c r="B18" s="15" t="s">
        <v>55</v>
      </c>
      <c r="C18" s="17" t="s">
        <v>58</v>
      </c>
      <c r="D18" s="75"/>
    </row>
    <row r="21" spans="1:4" x14ac:dyDescent="0.2">
      <c r="A21" t="s">
        <v>64</v>
      </c>
    </row>
    <row r="23" spans="1:4" x14ac:dyDescent="0.2">
      <c r="A23" s="10"/>
      <c r="B23" s="10"/>
      <c r="C23" s="73" t="s">
        <v>60</v>
      </c>
      <c r="D23" s="74"/>
    </row>
    <row r="24" spans="1:4" x14ac:dyDescent="0.2">
      <c r="A24" s="10"/>
      <c r="B24" s="10"/>
      <c r="C24" s="13" t="s">
        <v>48</v>
      </c>
      <c r="D24" s="14" t="s">
        <v>51</v>
      </c>
    </row>
    <row r="25" spans="1:4" x14ac:dyDescent="0.2">
      <c r="A25" s="10"/>
      <c r="B25" s="10"/>
      <c r="C25" s="13" t="s">
        <v>49</v>
      </c>
      <c r="D25" s="14" t="s">
        <v>49</v>
      </c>
    </row>
    <row r="26" spans="1:4" x14ac:dyDescent="0.2">
      <c r="A26" s="12"/>
      <c r="B26" s="12"/>
      <c r="C26" s="15" t="s">
        <v>47</v>
      </c>
      <c r="D26" s="16" t="s">
        <v>50</v>
      </c>
    </row>
    <row r="27" spans="1:4" x14ac:dyDescent="0.2">
      <c r="A27" s="18" t="s">
        <v>61</v>
      </c>
      <c r="B27" s="19" t="s">
        <v>52</v>
      </c>
      <c r="C27" s="24"/>
      <c r="D27" s="22" t="s">
        <v>67</v>
      </c>
    </row>
    <row r="28" spans="1:4" x14ac:dyDescent="0.2">
      <c r="A28" s="13" t="s">
        <v>61</v>
      </c>
      <c r="B28" s="20" t="s">
        <v>53</v>
      </c>
      <c r="C28" s="10" t="s">
        <v>68</v>
      </c>
      <c r="D28" s="14" t="s">
        <v>59</v>
      </c>
    </row>
    <row r="29" spans="1:4" x14ac:dyDescent="0.2">
      <c r="A29" s="13" t="s">
        <v>62</v>
      </c>
      <c r="B29" s="20" t="s">
        <v>65</v>
      </c>
      <c r="C29" s="10"/>
      <c r="D29" s="14" t="s">
        <v>71</v>
      </c>
    </row>
    <row r="30" spans="1:4" x14ac:dyDescent="0.2">
      <c r="A30" s="13" t="s">
        <v>63</v>
      </c>
      <c r="B30" s="20" t="s">
        <v>54</v>
      </c>
      <c r="C30" s="10" t="s">
        <v>72</v>
      </c>
      <c r="D30" s="14"/>
    </row>
    <row r="31" spans="1:4" x14ac:dyDescent="0.2">
      <c r="A31" s="13" t="s">
        <v>61</v>
      </c>
      <c r="B31" s="20" t="s">
        <v>55</v>
      </c>
      <c r="C31" s="10" t="s">
        <v>58</v>
      </c>
      <c r="D31" s="14" t="s">
        <v>69</v>
      </c>
    </row>
    <row r="32" spans="1:4" x14ac:dyDescent="0.2">
      <c r="A32" s="15" t="s">
        <v>61</v>
      </c>
      <c r="B32" s="25" t="s">
        <v>66</v>
      </c>
      <c r="C32" s="12" t="s">
        <v>70</v>
      </c>
      <c r="D32" s="16"/>
    </row>
    <row r="35" spans="1:4" x14ac:dyDescent="0.2">
      <c r="A35" t="s">
        <v>64</v>
      </c>
    </row>
    <row r="37" spans="1:4" x14ac:dyDescent="0.2">
      <c r="A37" s="1"/>
      <c r="B37" s="1"/>
      <c r="C37" s="1"/>
      <c r="D37" s="1"/>
    </row>
    <row r="38" spans="1:4" x14ac:dyDescent="0.2">
      <c r="A38" s="64" t="s">
        <v>79</v>
      </c>
      <c r="B38" s="64"/>
      <c r="C38" s="64"/>
      <c r="D38" s="64"/>
    </row>
    <row r="40" spans="1:4" x14ac:dyDescent="0.2">
      <c r="A40" s="10"/>
      <c r="B40" s="10"/>
      <c r="C40" s="69" t="s">
        <v>75</v>
      </c>
      <c r="D40" s="70"/>
    </row>
    <row r="41" spans="1:4" x14ac:dyDescent="0.2">
      <c r="A41" s="10"/>
      <c r="B41" s="10"/>
      <c r="C41" s="13" t="s">
        <v>77</v>
      </c>
      <c r="D41" s="14" t="s">
        <v>78</v>
      </c>
    </row>
    <row r="42" spans="1:4" x14ac:dyDescent="0.2">
      <c r="A42" s="12"/>
      <c r="B42" s="12"/>
      <c r="C42" s="15" t="s">
        <v>73</v>
      </c>
      <c r="D42" s="16" t="s">
        <v>74</v>
      </c>
    </row>
    <row r="43" spans="1:4" x14ac:dyDescent="0.2">
      <c r="A43" s="18" t="s">
        <v>61</v>
      </c>
      <c r="B43" s="19" t="s">
        <v>52</v>
      </c>
      <c r="C43" s="18"/>
      <c r="D43" s="22" t="s">
        <v>67</v>
      </c>
    </row>
    <row r="44" spans="1:4" x14ac:dyDescent="0.2">
      <c r="A44" s="13" t="s">
        <v>61</v>
      </c>
      <c r="B44" s="20" t="s">
        <v>53</v>
      </c>
      <c r="C44" s="71" t="s">
        <v>56</v>
      </c>
      <c r="D44" s="14" t="s">
        <v>59</v>
      </c>
    </row>
    <row r="45" spans="1:4" x14ac:dyDescent="0.2">
      <c r="A45" s="13" t="s">
        <v>61</v>
      </c>
      <c r="B45" s="20" t="s">
        <v>65</v>
      </c>
      <c r="C45" s="71"/>
      <c r="D45" s="14" t="s">
        <v>71</v>
      </c>
    </row>
    <row r="46" spans="1:4" x14ac:dyDescent="0.2">
      <c r="A46" s="13" t="s">
        <v>62</v>
      </c>
      <c r="B46" s="20"/>
      <c r="C46" s="13"/>
      <c r="D46" s="14" t="s">
        <v>61</v>
      </c>
    </row>
    <row r="47" spans="1:4" x14ac:dyDescent="0.2">
      <c r="A47" s="13" t="s">
        <v>63</v>
      </c>
      <c r="B47" s="20" t="s">
        <v>54</v>
      </c>
      <c r="C47" s="13" t="s">
        <v>72</v>
      </c>
      <c r="D47" s="14"/>
    </row>
    <row r="48" spans="1:4" x14ac:dyDescent="0.2">
      <c r="A48" s="13" t="s">
        <v>76</v>
      </c>
      <c r="B48" s="20" t="s">
        <v>55</v>
      </c>
      <c r="C48" s="13" t="s">
        <v>58</v>
      </c>
      <c r="D48" s="72" t="s">
        <v>56</v>
      </c>
    </row>
    <row r="49" spans="1:4" x14ac:dyDescent="0.2">
      <c r="A49" s="13" t="s">
        <v>61</v>
      </c>
      <c r="B49" s="20" t="s">
        <v>66</v>
      </c>
      <c r="C49" s="13" t="s">
        <v>70</v>
      </c>
      <c r="D49" s="72"/>
    </row>
    <row r="50" spans="1:4" x14ac:dyDescent="0.2">
      <c r="A50" s="15" t="s">
        <v>61</v>
      </c>
      <c r="B50" s="26"/>
      <c r="C50" s="15" t="s">
        <v>61</v>
      </c>
      <c r="D50" s="27"/>
    </row>
    <row r="51" spans="1:4" x14ac:dyDescent="0.2">
      <c r="A51" s="28"/>
      <c r="B51" s="1"/>
      <c r="C51" s="1"/>
      <c r="D51" s="1"/>
    </row>
    <row r="52" spans="1:4" x14ac:dyDescent="0.2">
      <c r="A52" s="64" t="s">
        <v>80</v>
      </c>
      <c r="B52" s="64"/>
      <c r="C52" s="64"/>
      <c r="D52" s="64"/>
    </row>
    <row r="54" spans="1:4" x14ac:dyDescent="0.2">
      <c r="A54" s="10"/>
      <c r="B54" s="10"/>
      <c r="C54" s="69" t="s">
        <v>84</v>
      </c>
      <c r="D54" s="70"/>
    </row>
    <row r="55" spans="1:4" x14ac:dyDescent="0.2">
      <c r="A55" s="10"/>
      <c r="B55" s="10"/>
      <c r="C55" s="13" t="s">
        <v>81</v>
      </c>
      <c r="D55" s="14" t="s">
        <v>81</v>
      </c>
    </row>
    <row r="56" spans="1:4" x14ac:dyDescent="0.2">
      <c r="A56" s="10"/>
      <c r="B56" s="10"/>
      <c r="C56" s="13" t="s">
        <v>85</v>
      </c>
      <c r="D56" s="14" t="s">
        <v>85</v>
      </c>
    </row>
    <row r="57" spans="1:4" x14ac:dyDescent="0.2">
      <c r="A57" s="12"/>
      <c r="B57" s="12"/>
      <c r="C57" s="15" t="s">
        <v>86</v>
      </c>
      <c r="D57" s="16" t="s">
        <v>87</v>
      </c>
    </row>
    <row r="58" spans="1:4" x14ac:dyDescent="0.2">
      <c r="A58" s="18" t="s">
        <v>61</v>
      </c>
      <c r="B58" s="19" t="s">
        <v>82</v>
      </c>
      <c r="C58" s="18"/>
      <c r="D58" s="22" t="s">
        <v>67</v>
      </c>
    </row>
    <row r="59" spans="1:4" x14ac:dyDescent="0.2">
      <c r="A59" s="13" t="s">
        <v>61</v>
      </c>
      <c r="B59" s="20" t="s">
        <v>85</v>
      </c>
      <c r="C59" s="71" t="s">
        <v>56</v>
      </c>
      <c r="D59" s="14" t="s">
        <v>59</v>
      </c>
    </row>
    <row r="60" spans="1:4" x14ac:dyDescent="0.2">
      <c r="A60" s="13" t="s">
        <v>61</v>
      </c>
      <c r="B60" s="20" t="s">
        <v>86</v>
      </c>
      <c r="C60" s="71"/>
      <c r="D60" s="14" t="s">
        <v>71</v>
      </c>
    </row>
    <row r="61" spans="1:4" x14ac:dyDescent="0.2">
      <c r="A61" s="13" t="s">
        <v>83</v>
      </c>
      <c r="B61" s="20"/>
      <c r="C61" s="13"/>
      <c r="D61" s="14" t="s">
        <v>61</v>
      </c>
    </row>
    <row r="62" spans="1:4" x14ac:dyDescent="0.2">
      <c r="A62" s="13" t="s">
        <v>63</v>
      </c>
      <c r="B62" s="20" t="s">
        <v>82</v>
      </c>
      <c r="C62" s="13" t="s">
        <v>72</v>
      </c>
      <c r="D62" s="14"/>
    </row>
    <row r="63" spans="1:4" x14ac:dyDescent="0.2">
      <c r="A63" s="13" t="s">
        <v>76</v>
      </c>
      <c r="B63" s="20" t="s">
        <v>85</v>
      </c>
      <c r="C63" s="13" t="s">
        <v>58</v>
      </c>
      <c r="D63" s="72" t="s">
        <v>56</v>
      </c>
    </row>
    <row r="64" spans="1:4" x14ac:dyDescent="0.2">
      <c r="A64" s="13" t="s">
        <v>61</v>
      </c>
      <c r="B64" s="20" t="s">
        <v>87</v>
      </c>
      <c r="C64" s="13" t="s">
        <v>70</v>
      </c>
      <c r="D64" s="72"/>
    </row>
    <row r="65" spans="1:4" x14ac:dyDescent="0.2">
      <c r="A65" s="15" t="s">
        <v>61</v>
      </c>
      <c r="B65" s="26"/>
      <c r="C65" s="15" t="s">
        <v>61</v>
      </c>
      <c r="D65" s="27"/>
    </row>
  </sheetData>
  <mergeCells count="14">
    <mergeCell ref="C2:D2"/>
    <mergeCell ref="A52:D52"/>
    <mergeCell ref="C54:D54"/>
    <mergeCell ref="C59:C60"/>
    <mergeCell ref="D63:D64"/>
    <mergeCell ref="A4:A5"/>
    <mergeCell ref="C11:D11"/>
    <mergeCell ref="D17:D18"/>
    <mergeCell ref="C15:C16"/>
    <mergeCell ref="A38:D38"/>
    <mergeCell ref="C44:C45"/>
    <mergeCell ref="D48:D49"/>
    <mergeCell ref="C23:D23"/>
    <mergeCell ref="C40:D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DFD8-BEEA-45B5-ADF4-74B2025BBA93}">
  <dimension ref="A1:D28"/>
  <sheetViews>
    <sheetView workbookViewId="0">
      <selection activeCell="E15" sqref="E15"/>
    </sheetView>
  </sheetViews>
  <sheetFormatPr baseColWidth="10" defaultColWidth="8.83203125" defaultRowHeight="15" x14ac:dyDescent="0.2"/>
  <cols>
    <col min="1" max="1" width="28.1640625" bestFit="1" customWidth="1"/>
    <col min="2" max="2" width="18.5" bestFit="1" customWidth="1"/>
    <col min="3" max="3" width="32.83203125" bestFit="1" customWidth="1"/>
    <col min="4" max="4" width="37.5" bestFit="1" customWidth="1"/>
  </cols>
  <sheetData>
    <row r="1" spans="1:4" x14ac:dyDescent="0.2">
      <c r="A1" s="64" t="s">
        <v>88</v>
      </c>
      <c r="B1" s="64"/>
      <c r="C1" s="64"/>
      <c r="D1" s="64"/>
    </row>
    <row r="3" spans="1:4" x14ac:dyDescent="0.2">
      <c r="A3" s="10"/>
      <c r="B3" s="10"/>
      <c r="C3" s="69" t="s">
        <v>75</v>
      </c>
      <c r="D3" s="70"/>
    </row>
    <row r="4" spans="1:4" x14ac:dyDescent="0.2">
      <c r="A4" s="10"/>
      <c r="B4" s="10"/>
      <c r="C4" s="13" t="s">
        <v>77</v>
      </c>
      <c r="D4" s="14" t="s">
        <v>78</v>
      </c>
    </row>
    <row r="5" spans="1:4" x14ac:dyDescent="0.2">
      <c r="A5" s="12"/>
      <c r="B5" s="12"/>
      <c r="C5" s="15" t="s">
        <v>73</v>
      </c>
      <c r="D5" s="16" t="s">
        <v>74</v>
      </c>
    </row>
    <row r="6" spans="1:4" x14ac:dyDescent="0.2">
      <c r="A6" s="18" t="s">
        <v>61</v>
      </c>
      <c r="B6" s="19" t="s">
        <v>52</v>
      </c>
      <c r="C6" s="18"/>
      <c r="D6" s="22" t="s">
        <v>67</v>
      </c>
    </row>
    <row r="7" spans="1:4" x14ac:dyDescent="0.2">
      <c r="A7" s="13" t="s">
        <v>61</v>
      </c>
      <c r="B7" s="20" t="s">
        <v>53</v>
      </c>
      <c r="C7" s="71" t="s">
        <v>56</v>
      </c>
      <c r="D7" s="14" t="s">
        <v>59</v>
      </c>
    </row>
    <row r="8" spans="1:4" x14ac:dyDescent="0.2">
      <c r="A8" s="13" t="s">
        <v>61</v>
      </c>
      <c r="B8" s="20" t="s">
        <v>65</v>
      </c>
      <c r="C8" s="71"/>
      <c r="D8" s="14" t="s">
        <v>71</v>
      </c>
    </row>
    <row r="9" spans="1:4" x14ac:dyDescent="0.2">
      <c r="A9" s="13" t="s">
        <v>62</v>
      </c>
      <c r="B9" s="20"/>
      <c r="C9" s="13"/>
      <c r="D9" s="14" t="s">
        <v>61</v>
      </c>
    </row>
    <row r="10" spans="1:4" x14ac:dyDescent="0.2">
      <c r="A10" s="13" t="s">
        <v>63</v>
      </c>
      <c r="B10" s="20" t="s">
        <v>54</v>
      </c>
      <c r="C10" s="13" t="s">
        <v>72</v>
      </c>
      <c r="D10" s="14"/>
    </row>
    <row r="11" spans="1:4" x14ac:dyDescent="0.2">
      <c r="A11" s="13" t="s">
        <v>76</v>
      </c>
      <c r="B11" s="20" t="s">
        <v>55</v>
      </c>
      <c r="C11" s="13" t="s">
        <v>58</v>
      </c>
      <c r="D11" s="72" t="s">
        <v>56</v>
      </c>
    </row>
    <row r="12" spans="1:4" x14ac:dyDescent="0.2">
      <c r="A12" s="13" t="s">
        <v>61</v>
      </c>
      <c r="B12" s="20" t="s">
        <v>66</v>
      </c>
      <c r="C12" s="13" t="s">
        <v>70</v>
      </c>
      <c r="D12" s="72"/>
    </row>
    <row r="13" spans="1:4" x14ac:dyDescent="0.2">
      <c r="A13" s="15" t="s">
        <v>61</v>
      </c>
      <c r="B13" s="26"/>
      <c r="C13" s="15" t="s">
        <v>61</v>
      </c>
      <c r="D13" s="27"/>
    </row>
    <row r="14" spans="1:4" x14ac:dyDescent="0.2">
      <c r="A14" s="1"/>
      <c r="B14" s="1"/>
      <c r="C14" s="1"/>
      <c r="D14" s="1"/>
    </row>
    <row r="15" spans="1:4" x14ac:dyDescent="0.2">
      <c r="A15" s="65" t="s">
        <v>91</v>
      </c>
      <c r="B15" s="65"/>
      <c r="C15" s="65"/>
      <c r="D15" s="65"/>
    </row>
    <row r="17" spans="1:4" x14ac:dyDescent="0.2">
      <c r="A17" s="10"/>
      <c r="B17" s="10"/>
      <c r="C17" s="69" t="s">
        <v>84</v>
      </c>
      <c r="D17" s="70"/>
    </row>
    <row r="18" spans="1:4" x14ac:dyDescent="0.2">
      <c r="A18" s="10"/>
      <c r="B18" s="10"/>
      <c r="C18" s="13" t="s">
        <v>90</v>
      </c>
      <c r="D18" s="14" t="s">
        <v>90</v>
      </c>
    </row>
    <row r="19" spans="1:4" x14ac:dyDescent="0.2">
      <c r="A19" s="10"/>
      <c r="B19" s="10"/>
      <c r="C19" s="13" t="s">
        <v>85</v>
      </c>
      <c r="D19" s="14" t="s">
        <v>85</v>
      </c>
    </row>
    <row r="20" spans="1:4" x14ac:dyDescent="0.2">
      <c r="A20" s="12"/>
      <c r="B20" s="12"/>
      <c r="C20" s="15" t="s">
        <v>86</v>
      </c>
      <c r="D20" s="16" t="s">
        <v>87</v>
      </c>
    </row>
    <row r="21" spans="1:4" x14ac:dyDescent="0.2">
      <c r="A21" s="18" t="s">
        <v>61</v>
      </c>
      <c r="B21" s="19" t="s">
        <v>89</v>
      </c>
      <c r="C21" s="18"/>
      <c r="D21" s="22" t="s">
        <v>67</v>
      </c>
    </row>
    <row r="22" spans="1:4" x14ac:dyDescent="0.2">
      <c r="A22" s="13" t="s">
        <v>61</v>
      </c>
      <c r="B22" s="20" t="s">
        <v>85</v>
      </c>
      <c r="C22" s="71" t="s">
        <v>56</v>
      </c>
      <c r="D22" s="14" t="s">
        <v>59</v>
      </c>
    </row>
    <row r="23" spans="1:4" x14ac:dyDescent="0.2">
      <c r="A23" s="13" t="s">
        <v>61</v>
      </c>
      <c r="B23" s="20" t="s">
        <v>86</v>
      </c>
      <c r="C23" s="71"/>
      <c r="D23" s="14" t="s">
        <v>71</v>
      </c>
    </row>
    <row r="24" spans="1:4" x14ac:dyDescent="0.2">
      <c r="A24" s="13" t="s">
        <v>83</v>
      </c>
      <c r="B24" s="20"/>
      <c r="C24" s="13"/>
      <c r="D24" s="14" t="s">
        <v>61</v>
      </c>
    </row>
    <row r="25" spans="1:4" x14ac:dyDescent="0.2">
      <c r="A25" s="13" t="s">
        <v>63</v>
      </c>
      <c r="B25" s="20" t="s">
        <v>89</v>
      </c>
      <c r="C25" s="13" t="s">
        <v>72</v>
      </c>
      <c r="D25" s="14"/>
    </row>
    <row r="26" spans="1:4" x14ac:dyDescent="0.2">
      <c r="A26" s="13" t="s">
        <v>76</v>
      </c>
      <c r="B26" s="20" t="s">
        <v>85</v>
      </c>
      <c r="C26" s="13" t="s">
        <v>58</v>
      </c>
      <c r="D26" s="72" t="s">
        <v>56</v>
      </c>
    </row>
    <row r="27" spans="1:4" x14ac:dyDescent="0.2">
      <c r="A27" s="13" t="s">
        <v>61</v>
      </c>
      <c r="B27" s="20" t="s">
        <v>87</v>
      </c>
      <c r="C27" s="13" t="s">
        <v>70</v>
      </c>
      <c r="D27" s="72"/>
    </row>
    <row r="28" spans="1:4" x14ac:dyDescent="0.2">
      <c r="A28" s="15" t="s">
        <v>61</v>
      </c>
      <c r="B28" s="26"/>
      <c r="C28" s="15" t="s">
        <v>61</v>
      </c>
      <c r="D28" s="27"/>
    </row>
  </sheetData>
  <mergeCells count="8">
    <mergeCell ref="C22:C23"/>
    <mergeCell ref="D26:D27"/>
    <mergeCell ref="A1:D1"/>
    <mergeCell ref="C3:D3"/>
    <mergeCell ref="C7:C8"/>
    <mergeCell ref="D11:D12"/>
    <mergeCell ref="A15:D15"/>
    <mergeCell ref="C17:D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D6956-1FC6-4F10-AB1C-C7BE98EE88BC}">
  <dimension ref="B1:E22"/>
  <sheetViews>
    <sheetView topLeftCell="A4" workbookViewId="0">
      <selection activeCell="C12" sqref="C12"/>
    </sheetView>
  </sheetViews>
  <sheetFormatPr baseColWidth="10" defaultColWidth="8.83203125" defaultRowHeight="15" x14ac:dyDescent="0.2"/>
  <cols>
    <col min="2" max="2" width="20.1640625" customWidth="1"/>
    <col min="3" max="3" width="34.6640625" style="29" customWidth="1"/>
    <col min="4" max="4" width="12.5" customWidth="1"/>
    <col min="5" max="5" width="14.5" customWidth="1"/>
  </cols>
  <sheetData>
    <row r="1" spans="2:5" x14ac:dyDescent="0.2">
      <c r="B1" s="1"/>
      <c r="C1" s="30"/>
      <c r="D1" s="1"/>
      <c r="E1" s="1"/>
    </row>
    <row r="2" spans="2:5" ht="16" x14ac:dyDescent="0.2">
      <c r="B2" s="1" t="s">
        <v>92</v>
      </c>
      <c r="C2" s="30" t="s">
        <v>101</v>
      </c>
      <c r="D2" s="1" t="s">
        <v>100</v>
      </c>
      <c r="E2" s="1" t="s">
        <v>96</v>
      </c>
    </row>
    <row r="3" spans="2:5" ht="48" x14ac:dyDescent="0.2">
      <c r="B3" s="11" t="s">
        <v>93</v>
      </c>
      <c r="C3" s="29" t="s">
        <v>102</v>
      </c>
      <c r="D3" s="11" t="s">
        <v>98</v>
      </c>
      <c r="E3" s="10" t="s">
        <v>97</v>
      </c>
    </row>
    <row r="4" spans="2:5" ht="64" x14ac:dyDescent="0.2">
      <c r="B4" s="11" t="s">
        <v>94</v>
      </c>
      <c r="C4" s="29" t="s">
        <v>103</v>
      </c>
      <c r="D4" s="11" t="s">
        <v>99</v>
      </c>
      <c r="E4" s="31">
        <v>0.23200000000000001</v>
      </c>
    </row>
    <row r="5" spans="2:5" ht="48" x14ac:dyDescent="0.2">
      <c r="B5" s="32" t="s">
        <v>158</v>
      </c>
      <c r="C5" s="30" t="s">
        <v>104</v>
      </c>
      <c r="D5" s="32" t="s">
        <v>98</v>
      </c>
      <c r="E5" s="12" t="s">
        <v>97</v>
      </c>
    </row>
    <row r="8" spans="2:5" x14ac:dyDescent="0.2">
      <c r="B8" s="1"/>
      <c r="C8" s="30"/>
      <c r="D8" s="1"/>
      <c r="E8" s="1"/>
    </row>
    <row r="9" spans="2:5" x14ac:dyDescent="0.2">
      <c r="B9" s="33" t="s">
        <v>92</v>
      </c>
      <c r="C9" s="33" t="s">
        <v>101</v>
      </c>
      <c r="D9" s="33" t="s">
        <v>100</v>
      </c>
      <c r="E9" s="33" t="s">
        <v>96</v>
      </c>
    </row>
    <row r="10" spans="2:5" ht="16" x14ac:dyDescent="0.2">
      <c r="B10" s="34" t="s">
        <v>106</v>
      </c>
      <c r="C10" s="36" t="s">
        <v>105</v>
      </c>
      <c r="D10" s="37" t="s">
        <v>95</v>
      </c>
      <c r="E10" s="34" t="s">
        <v>97</v>
      </c>
    </row>
    <row r="11" spans="2:5" ht="16" x14ac:dyDescent="0.2">
      <c r="B11" s="34" t="s">
        <v>107</v>
      </c>
      <c r="C11" s="36" t="s">
        <v>108</v>
      </c>
      <c r="D11" s="37" t="s">
        <v>118</v>
      </c>
      <c r="E11" s="34"/>
    </row>
    <row r="12" spans="2:5" ht="16" x14ac:dyDescent="0.2">
      <c r="B12" s="34"/>
      <c r="C12" s="36" t="s">
        <v>120</v>
      </c>
      <c r="D12" s="37" t="s">
        <v>119</v>
      </c>
      <c r="E12" s="34"/>
    </row>
    <row r="13" spans="2:5" x14ac:dyDescent="0.2">
      <c r="B13" s="34"/>
      <c r="C13" s="36"/>
      <c r="D13" s="37"/>
      <c r="E13" s="34"/>
    </row>
    <row r="14" spans="2:5" ht="16" x14ac:dyDescent="0.2">
      <c r="B14" s="10"/>
      <c r="C14" s="36" t="s">
        <v>115</v>
      </c>
      <c r="D14" s="37" t="s">
        <v>95</v>
      </c>
    </row>
    <row r="15" spans="2:5" x14ac:dyDescent="0.2">
      <c r="B15" s="34" t="s">
        <v>114</v>
      </c>
      <c r="C15" t="s">
        <v>116</v>
      </c>
      <c r="D15" s="38" t="s">
        <v>118</v>
      </c>
      <c r="E15" s="34" t="s">
        <v>97</v>
      </c>
    </row>
    <row r="16" spans="2:5" ht="16" x14ac:dyDescent="0.2">
      <c r="B16" s="10" t="s">
        <v>159</v>
      </c>
      <c r="C16" t="s">
        <v>117</v>
      </c>
      <c r="D16" s="37" t="s">
        <v>119</v>
      </c>
    </row>
    <row r="17" spans="2:5" x14ac:dyDescent="0.2">
      <c r="B17" s="10"/>
      <c r="C17" t="s">
        <v>121</v>
      </c>
    </row>
    <row r="18" spans="2:5" x14ac:dyDescent="0.2">
      <c r="B18" s="10"/>
      <c r="C18"/>
    </row>
    <row r="19" spans="2:5" x14ac:dyDescent="0.2">
      <c r="B19" s="10"/>
      <c r="C19" s="36" t="s">
        <v>109</v>
      </c>
    </row>
    <row r="20" spans="2:5" ht="16" x14ac:dyDescent="0.2">
      <c r="B20" s="34" t="s">
        <v>112</v>
      </c>
      <c r="C20" s="36" t="s">
        <v>122</v>
      </c>
      <c r="D20" s="37" t="s">
        <v>151</v>
      </c>
      <c r="E20" s="34" t="s">
        <v>97</v>
      </c>
    </row>
    <row r="21" spans="2:5" x14ac:dyDescent="0.2">
      <c r="B21" s="34" t="s">
        <v>113</v>
      </c>
      <c r="C21" s="36" t="s">
        <v>110</v>
      </c>
      <c r="D21" s="37"/>
      <c r="E21" t="s">
        <v>153</v>
      </c>
    </row>
    <row r="22" spans="2:5" x14ac:dyDescent="0.2">
      <c r="B22" s="35"/>
      <c r="C22" s="33" t="s">
        <v>111</v>
      </c>
      <c r="D22" s="47"/>
      <c r="E22" s="35" t="s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9A24-4A91-40B4-A24A-D50365B72977}">
  <dimension ref="A1:E19"/>
  <sheetViews>
    <sheetView workbookViewId="0">
      <selection activeCell="A2" sqref="A2:E15"/>
    </sheetView>
  </sheetViews>
  <sheetFormatPr baseColWidth="10" defaultColWidth="8.83203125" defaultRowHeight="15" x14ac:dyDescent="0.2"/>
  <cols>
    <col min="1" max="1" width="23" bestFit="1" customWidth="1"/>
    <col min="2" max="2" width="15.83203125" customWidth="1"/>
    <col min="3" max="3" width="15.5" bestFit="1" customWidth="1"/>
    <col min="4" max="4" width="15.5" style="43" customWidth="1"/>
    <col min="5" max="5" width="13.1640625" style="39" customWidth="1"/>
  </cols>
  <sheetData>
    <row r="1" spans="1:5" x14ac:dyDescent="0.2">
      <c r="A1" s="1"/>
      <c r="B1" s="1"/>
      <c r="C1" s="1"/>
      <c r="D1" s="41"/>
      <c r="E1" s="40"/>
    </row>
    <row r="2" spans="1:5" x14ac:dyDescent="0.2">
      <c r="A2" t="s">
        <v>92</v>
      </c>
      <c r="B2" t="s">
        <v>100</v>
      </c>
      <c r="C2" t="s">
        <v>125</v>
      </c>
      <c r="D2" s="38" t="s">
        <v>126</v>
      </c>
      <c r="E2" s="39" t="s">
        <v>128</v>
      </c>
    </row>
    <row r="3" spans="1:5" x14ac:dyDescent="0.2">
      <c r="A3" s="1"/>
      <c r="B3" s="1"/>
      <c r="C3" s="1"/>
      <c r="D3" s="44" t="s">
        <v>127</v>
      </c>
      <c r="E3" s="40" t="s">
        <v>129</v>
      </c>
    </row>
    <row r="4" spans="1:5" x14ac:dyDescent="0.2">
      <c r="A4" t="s">
        <v>123</v>
      </c>
      <c r="B4" t="s">
        <v>144</v>
      </c>
      <c r="C4" t="s">
        <v>139</v>
      </c>
      <c r="D4" s="42">
        <v>5.0999999999999996</v>
      </c>
      <c r="E4" s="45">
        <f>5*EXP(2/(D4-2))</f>
        <v>9.5314723566387816</v>
      </c>
    </row>
    <row r="5" spans="1:5" x14ac:dyDescent="0.2">
      <c r="A5" t="s">
        <v>124</v>
      </c>
      <c r="B5" t="s">
        <v>145</v>
      </c>
      <c r="C5" t="s">
        <v>140</v>
      </c>
      <c r="D5" s="42"/>
      <c r="E5" s="45"/>
    </row>
    <row r="6" spans="1:5" x14ac:dyDescent="0.2">
      <c r="A6" t="s">
        <v>146</v>
      </c>
      <c r="B6" t="s">
        <v>135</v>
      </c>
      <c r="C6" t="s">
        <v>139</v>
      </c>
      <c r="D6" s="42">
        <v>4.5999999999999996</v>
      </c>
      <c r="E6" s="45">
        <f>5*EXP(2/(D6-2))</f>
        <v>10.790527669742229</v>
      </c>
    </row>
    <row r="7" spans="1:5" x14ac:dyDescent="0.2">
      <c r="A7" t="s">
        <v>138</v>
      </c>
      <c r="C7" t="s">
        <v>140</v>
      </c>
      <c r="D7" s="42"/>
      <c r="E7" s="45"/>
    </row>
    <row r="8" spans="1:5" x14ac:dyDescent="0.2">
      <c r="A8" t="s">
        <v>147</v>
      </c>
      <c r="B8" t="s">
        <v>143</v>
      </c>
      <c r="C8" t="s">
        <v>139</v>
      </c>
      <c r="D8" s="42">
        <v>4.2</v>
      </c>
      <c r="E8" s="45">
        <f>5*EXP(2/(D8-2))</f>
        <v>12.410325423115061</v>
      </c>
    </row>
    <row r="9" spans="1:5" x14ac:dyDescent="0.2">
      <c r="A9" t="s">
        <v>142</v>
      </c>
      <c r="B9" t="s">
        <v>152</v>
      </c>
      <c r="C9" t="s">
        <v>140</v>
      </c>
      <c r="D9" s="42"/>
      <c r="E9" s="45"/>
    </row>
    <row r="10" spans="1:5" x14ac:dyDescent="0.2">
      <c r="A10" t="s">
        <v>148</v>
      </c>
      <c r="B10" t="s">
        <v>131</v>
      </c>
      <c r="C10" t="s">
        <v>141</v>
      </c>
      <c r="D10" s="42">
        <v>3.55</v>
      </c>
      <c r="E10" s="45">
        <f>5*EXP(2/(D10-2))</f>
        <v>18.16979305707385</v>
      </c>
    </row>
    <row r="11" spans="1:5" x14ac:dyDescent="0.2">
      <c r="A11" t="s">
        <v>130</v>
      </c>
      <c r="B11" t="s">
        <v>132</v>
      </c>
      <c r="C11" t="s">
        <v>136</v>
      </c>
      <c r="D11" s="42"/>
      <c r="E11" s="45"/>
    </row>
    <row r="12" spans="1:5" x14ac:dyDescent="0.2">
      <c r="A12" t="s">
        <v>157</v>
      </c>
      <c r="B12" t="s">
        <v>154</v>
      </c>
      <c r="C12" t="s">
        <v>141</v>
      </c>
      <c r="D12" s="42">
        <v>3.56</v>
      </c>
      <c r="E12" s="45">
        <f>5*EXP(2/(D12-2))</f>
        <v>18.020125100773775</v>
      </c>
    </row>
    <row r="13" spans="1:5" x14ac:dyDescent="0.2">
      <c r="A13" t="s">
        <v>156</v>
      </c>
      <c r="B13" t="s">
        <v>155</v>
      </c>
      <c r="C13" t="s">
        <v>137</v>
      </c>
      <c r="D13" s="42"/>
      <c r="E13" s="45"/>
    </row>
    <row r="14" spans="1:5" x14ac:dyDescent="0.2">
      <c r="A14" t="s">
        <v>149</v>
      </c>
      <c r="B14" t="s">
        <v>134</v>
      </c>
      <c r="C14" t="s">
        <v>141</v>
      </c>
      <c r="D14" s="42">
        <v>3.08</v>
      </c>
      <c r="E14" s="45">
        <f>5*EXP(2/(D14-2))</f>
        <v>31.858039389685811</v>
      </c>
    </row>
    <row r="15" spans="1:5" x14ac:dyDescent="0.2">
      <c r="A15" s="1" t="s">
        <v>133</v>
      </c>
      <c r="B15" s="1" t="s">
        <v>135</v>
      </c>
      <c r="C15" s="1" t="s">
        <v>137</v>
      </c>
      <c r="D15" s="41"/>
      <c r="E15" s="46"/>
    </row>
    <row r="16" spans="1:5" x14ac:dyDescent="0.2">
      <c r="E16" s="42"/>
    </row>
    <row r="18" spans="5:5" x14ac:dyDescent="0.2">
      <c r="E18" s="42"/>
    </row>
    <row r="19" spans="5:5" x14ac:dyDescent="0.2">
      <c r="E19" s="4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B26F9-5244-4985-8BDB-A2C34161794C}">
  <dimension ref="A1:F25"/>
  <sheetViews>
    <sheetView zoomScale="115" zoomScaleNormal="115" workbookViewId="0">
      <selection activeCell="F7" sqref="F7"/>
    </sheetView>
  </sheetViews>
  <sheetFormatPr baseColWidth="10" defaultColWidth="8.6640625" defaultRowHeight="15" x14ac:dyDescent="0.2"/>
  <cols>
    <col min="1" max="1" width="14.6640625" style="38" bestFit="1" customWidth="1"/>
    <col min="2" max="2" width="19.1640625" style="38" bestFit="1" customWidth="1"/>
    <col min="3" max="3" width="16" style="38" bestFit="1" customWidth="1"/>
    <col min="4" max="4" width="32.83203125" style="38" customWidth="1"/>
    <col min="5" max="5" width="16.1640625" style="38" bestFit="1" customWidth="1"/>
    <col min="6" max="6" width="16.5" style="38" bestFit="1" customWidth="1"/>
    <col min="7" max="16384" width="8.6640625" style="38"/>
  </cols>
  <sheetData>
    <row r="1" spans="1:6" x14ac:dyDescent="0.2">
      <c r="A1" s="64" t="s">
        <v>160</v>
      </c>
      <c r="B1" s="64"/>
      <c r="C1" s="64"/>
      <c r="D1" s="64"/>
      <c r="E1" s="64"/>
      <c r="F1" s="64"/>
    </row>
    <row r="2" spans="1:6" x14ac:dyDescent="0.2">
      <c r="A2" s="53"/>
      <c r="B2" s="76" t="s">
        <v>92</v>
      </c>
      <c r="C2" s="76" t="s">
        <v>100</v>
      </c>
      <c r="D2" s="76" t="s">
        <v>182</v>
      </c>
      <c r="E2" s="54" t="s">
        <v>96</v>
      </c>
      <c r="F2" s="55" t="s">
        <v>128</v>
      </c>
    </row>
    <row r="3" spans="1:6" x14ac:dyDescent="0.2">
      <c r="A3" s="49"/>
      <c r="B3" s="77"/>
      <c r="C3" s="77"/>
      <c r="D3" s="77"/>
      <c r="E3" s="56" t="s">
        <v>161</v>
      </c>
      <c r="F3" s="57" t="s">
        <v>162</v>
      </c>
    </row>
    <row r="4" spans="1:6" x14ac:dyDescent="0.2">
      <c r="A4" s="51" t="s">
        <v>163</v>
      </c>
      <c r="B4" s="51" t="s">
        <v>106</v>
      </c>
      <c r="C4" s="38" t="s">
        <v>95</v>
      </c>
      <c r="D4" s="38" t="s">
        <v>186</v>
      </c>
      <c r="E4" s="8">
        <v>20</v>
      </c>
      <c r="F4" s="8">
        <f>5/(E4/100)</f>
        <v>25</v>
      </c>
    </row>
    <row r="5" spans="1:6" x14ac:dyDescent="0.2">
      <c r="A5" s="51"/>
      <c r="B5" s="51" t="s">
        <v>107</v>
      </c>
      <c r="D5" s="38" t="s">
        <v>187</v>
      </c>
      <c r="E5" s="8"/>
      <c r="F5" s="8"/>
    </row>
    <row r="6" spans="1:6" x14ac:dyDescent="0.2">
      <c r="A6" s="51" t="s">
        <v>164</v>
      </c>
      <c r="B6" s="50" t="s">
        <v>112</v>
      </c>
      <c r="C6" s="38" t="s">
        <v>151</v>
      </c>
      <c r="D6" s="38" t="s">
        <v>183</v>
      </c>
      <c r="E6" s="8">
        <v>20</v>
      </c>
      <c r="F6" s="8">
        <f>5/(E6/100)</f>
        <v>25</v>
      </c>
    </row>
    <row r="7" spans="1:6" x14ac:dyDescent="0.2">
      <c r="A7" s="51"/>
      <c r="B7" s="50" t="s">
        <v>113</v>
      </c>
      <c r="C7" s="38" t="s">
        <v>165</v>
      </c>
      <c r="D7" s="38" t="s">
        <v>184</v>
      </c>
      <c r="E7" s="8"/>
      <c r="F7" s="8"/>
    </row>
    <row r="8" spans="1:6" x14ac:dyDescent="0.2">
      <c r="A8" s="51" t="s">
        <v>166</v>
      </c>
      <c r="B8" s="50" t="s">
        <v>114</v>
      </c>
      <c r="C8" s="38" t="s">
        <v>95</v>
      </c>
      <c r="D8" s="38" t="s">
        <v>185</v>
      </c>
      <c r="E8" s="8">
        <v>20</v>
      </c>
      <c r="F8" s="8">
        <f>5/(E8/100)</f>
        <v>25</v>
      </c>
    </row>
    <row r="9" spans="1:6" x14ac:dyDescent="0.2">
      <c r="A9" s="49"/>
      <c r="B9" s="52" t="s">
        <v>159</v>
      </c>
      <c r="C9" s="44" t="s">
        <v>167</v>
      </c>
      <c r="D9" s="44"/>
      <c r="E9" s="9"/>
      <c r="F9" s="9"/>
    </row>
    <row r="10" spans="1:6" x14ac:dyDescent="0.2">
      <c r="A10" s="51" t="s">
        <v>168</v>
      </c>
      <c r="B10" s="58"/>
      <c r="C10" s="59"/>
      <c r="D10" s="59"/>
      <c r="E10" s="48"/>
      <c r="F10" s="48"/>
    </row>
    <row r="11" spans="1:6" x14ac:dyDescent="0.2">
      <c r="A11" s="78" t="s">
        <v>169</v>
      </c>
      <c r="B11" s="78"/>
      <c r="C11" s="78"/>
      <c r="D11" s="78"/>
      <c r="E11" s="78"/>
      <c r="F11" s="78"/>
    </row>
    <row r="12" spans="1:6" x14ac:dyDescent="0.2">
      <c r="A12" s="53"/>
      <c r="B12" s="76" t="s">
        <v>92</v>
      </c>
      <c r="C12" s="76" t="s">
        <v>100</v>
      </c>
      <c r="D12" s="76" t="s">
        <v>125</v>
      </c>
      <c r="E12" s="54" t="s">
        <v>170</v>
      </c>
      <c r="F12" s="55" t="s">
        <v>128</v>
      </c>
    </row>
    <row r="13" spans="1:6" x14ac:dyDescent="0.2">
      <c r="A13" s="49"/>
      <c r="B13" s="77"/>
      <c r="C13" s="77"/>
      <c r="D13" s="77"/>
      <c r="E13" s="56" t="s">
        <v>127</v>
      </c>
      <c r="F13" s="57" t="s">
        <v>162</v>
      </c>
    </row>
    <row r="14" spans="1:6" x14ac:dyDescent="0.2">
      <c r="A14" s="51" t="s">
        <v>171</v>
      </c>
      <c r="B14" s="51" t="s">
        <v>123</v>
      </c>
      <c r="C14" s="38" t="s">
        <v>144</v>
      </c>
      <c r="D14" t="s">
        <v>139</v>
      </c>
      <c r="E14" s="60">
        <v>5.0999999999999996</v>
      </c>
      <c r="F14" s="61">
        <f>5*EXP(2/(E14-2))</f>
        <v>9.5314723566387816</v>
      </c>
    </row>
    <row r="15" spans="1:6" x14ac:dyDescent="0.2">
      <c r="A15" s="51"/>
      <c r="B15" s="51" t="s">
        <v>124</v>
      </c>
      <c r="C15" s="38" t="s">
        <v>145</v>
      </c>
      <c r="D15" t="s">
        <v>140</v>
      </c>
      <c r="E15" s="60"/>
      <c r="F15" s="61"/>
    </row>
    <row r="16" spans="1:6" x14ac:dyDescent="0.2">
      <c r="A16" s="51" t="s">
        <v>172</v>
      </c>
      <c r="B16" s="51" t="s">
        <v>173</v>
      </c>
      <c r="C16" s="38" t="s">
        <v>135</v>
      </c>
      <c r="D16" t="s">
        <v>139</v>
      </c>
      <c r="E16" s="60">
        <v>4.5999999999999996</v>
      </c>
      <c r="F16" s="61">
        <f>5*EXP(2/(E16-2))</f>
        <v>10.790527669742229</v>
      </c>
    </row>
    <row r="17" spans="1:6" x14ac:dyDescent="0.2">
      <c r="A17" s="51"/>
      <c r="B17" s="51" t="s">
        <v>138</v>
      </c>
      <c r="D17" t="s">
        <v>140</v>
      </c>
      <c r="E17" s="60"/>
      <c r="F17" s="61"/>
    </row>
    <row r="18" spans="1:6" x14ac:dyDescent="0.2">
      <c r="A18" s="51" t="s">
        <v>174</v>
      </c>
      <c r="B18" s="51" t="s">
        <v>175</v>
      </c>
      <c r="C18" s="38" t="s">
        <v>143</v>
      </c>
      <c r="D18" t="s">
        <v>139</v>
      </c>
      <c r="E18" s="60">
        <v>4.2</v>
      </c>
      <c r="F18" s="61">
        <f>5*EXP(2/(E18-2))</f>
        <v>12.410325423115061</v>
      </c>
    </row>
    <row r="19" spans="1:6" x14ac:dyDescent="0.2">
      <c r="A19" s="51"/>
      <c r="B19" s="51" t="s">
        <v>142</v>
      </c>
      <c r="C19" s="38" t="s">
        <v>152</v>
      </c>
      <c r="D19" t="s">
        <v>140</v>
      </c>
      <c r="E19" s="60"/>
      <c r="F19" s="61"/>
    </row>
    <row r="20" spans="1:6" x14ac:dyDescent="0.2">
      <c r="A20" s="51" t="s">
        <v>176</v>
      </c>
      <c r="B20" s="51" t="s">
        <v>177</v>
      </c>
      <c r="C20" s="38" t="s">
        <v>131</v>
      </c>
      <c r="D20" t="s">
        <v>141</v>
      </c>
      <c r="E20" s="60">
        <v>3.55</v>
      </c>
      <c r="F20" s="61">
        <f>5*EXP(2/(E20-2))</f>
        <v>18.16979305707385</v>
      </c>
    </row>
    <row r="21" spans="1:6" x14ac:dyDescent="0.2">
      <c r="A21" s="51"/>
      <c r="B21" s="51" t="s">
        <v>130</v>
      </c>
      <c r="C21" s="38" t="s">
        <v>132</v>
      </c>
      <c r="D21" t="s">
        <v>136</v>
      </c>
      <c r="E21" s="60"/>
      <c r="F21" s="61"/>
    </row>
    <row r="22" spans="1:6" x14ac:dyDescent="0.2">
      <c r="A22" s="51" t="s">
        <v>178</v>
      </c>
      <c r="B22" s="51" t="s">
        <v>179</v>
      </c>
      <c r="C22" s="38" t="s">
        <v>154</v>
      </c>
      <c r="D22" t="s">
        <v>141</v>
      </c>
      <c r="E22" s="60">
        <v>3.56</v>
      </c>
      <c r="F22" s="61">
        <f>5*EXP(2/(E22-2))</f>
        <v>18.020125100773775</v>
      </c>
    </row>
    <row r="23" spans="1:6" x14ac:dyDescent="0.2">
      <c r="A23" s="51"/>
      <c r="B23" s="51" t="s">
        <v>156</v>
      </c>
      <c r="C23" s="38" t="s">
        <v>155</v>
      </c>
      <c r="D23" t="s">
        <v>137</v>
      </c>
      <c r="E23" s="60"/>
      <c r="F23" s="61"/>
    </row>
    <row r="24" spans="1:6" x14ac:dyDescent="0.2">
      <c r="A24" s="51" t="s">
        <v>180</v>
      </c>
      <c r="B24" s="51" t="s">
        <v>181</v>
      </c>
      <c r="C24" s="38" t="s">
        <v>134</v>
      </c>
      <c r="D24" t="s">
        <v>141</v>
      </c>
      <c r="E24" s="60">
        <v>3.08</v>
      </c>
      <c r="F24" s="61">
        <f>5*EXP(2/(E24-2))</f>
        <v>31.858039389685811</v>
      </c>
    </row>
    <row r="25" spans="1:6" x14ac:dyDescent="0.2">
      <c r="A25" s="49"/>
      <c r="B25" s="49" t="s">
        <v>133</v>
      </c>
      <c r="C25" s="44" t="s">
        <v>135</v>
      </c>
      <c r="D25" s="1" t="s">
        <v>137</v>
      </c>
      <c r="E25" s="9"/>
      <c r="F25" s="57"/>
    </row>
  </sheetData>
  <mergeCells count="8">
    <mergeCell ref="B12:B13"/>
    <mergeCell ref="C12:C13"/>
    <mergeCell ref="D12:D13"/>
    <mergeCell ref="A1:F1"/>
    <mergeCell ref="B2:B3"/>
    <mergeCell ref="C2:C3"/>
    <mergeCell ref="D2:D3"/>
    <mergeCell ref="A11:F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9AA2-5046-7D43-A5A4-3D423FCC49CC}">
  <dimension ref="A1:E2"/>
  <sheetViews>
    <sheetView workbookViewId="0"/>
  </sheetViews>
  <sheetFormatPr baseColWidth="10" defaultRowHeight="15" x14ac:dyDescent="0.2"/>
  <sheetData>
    <row r="1" spans="1:5" x14ac:dyDescent="0.2">
      <c r="A1" t="s">
        <v>193</v>
      </c>
      <c r="B1" t="s">
        <v>194</v>
      </c>
      <c r="C1" t="s">
        <v>195</v>
      </c>
      <c r="D1" t="s">
        <v>196</v>
      </c>
      <c r="E1" t="s">
        <v>197</v>
      </c>
    </row>
    <row r="2" spans="1:5" x14ac:dyDescent="0.2">
      <c r="A2">
        <f>COUNT('ez-combined'!$D$35)</f>
        <v>0</v>
      </c>
      <c r="B2">
        <v>2</v>
      </c>
      <c r="C2">
        <v>5</v>
      </c>
      <c r="D2">
        <v>0</v>
      </c>
      <c r="E2" t="s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0702-5618-1741-B3E4-7694722491B7}">
  <dimension ref="A1:F31"/>
  <sheetViews>
    <sheetView tabSelected="1" zoomScale="115" zoomScaleNormal="115" workbookViewId="0">
      <selection activeCell="D18" sqref="D18"/>
    </sheetView>
  </sheetViews>
  <sheetFormatPr baseColWidth="10" defaultColWidth="8.6640625" defaultRowHeight="15" x14ac:dyDescent="0.2"/>
  <cols>
    <col min="1" max="1" width="14.6640625" style="38" bestFit="1" customWidth="1"/>
    <col min="2" max="2" width="19.1640625" style="38" bestFit="1" customWidth="1"/>
    <col min="3" max="3" width="30.5" style="38" customWidth="1"/>
    <col min="4" max="4" width="18.33203125" style="38" customWidth="1"/>
    <col min="5" max="5" width="16.1640625" style="38" bestFit="1" customWidth="1"/>
    <col min="6" max="6" width="16.5" style="38" bestFit="1" customWidth="1"/>
    <col min="7" max="16384" width="8.6640625" style="38"/>
  </cols>
  <sheetData>
    <row r="1" spans="1:6" x14ac:dyDescent="0.2">
      <c r="A1" s="64" t="s">
        <v>160</v>
      </c>
      <c r="B1" s="64"/>
      <c r="C1" s="64"/>
      <c r="D1" s="64"/>
      <c r="E1" s="64"/>
      <c r="F1" s="64"/>
    </row>
    <row r="2" spans="1:6" x14ac:dyDescent="0.2">
      <c r="A2" s="53"/>
      <c r="B2" s="79" t="s">
        <v>223</v>
      </c>
      <c r="C2" s="79" t="s">
        <v>225</v>
      </c>
      <c r="D2" s="38" t="s">
        <v>191</v>
      </c>
      <c r="E2" s="54" t="s">
        <v>96</v>
      </c>
      <c r="F2" s="55" t="s">
        <v>128</v>
      </c>
    </row>
    <row r="3" spans="1:6" x14ac:dyDescent="0.2">
      <c r="A3" s="49"/>
      <c r="B3" s="80" t="s">
        <v>224</v>
      </c>
      <c r="C3" s="80" t="s">
        <v>182</v>
      </c>
      <c r="D3" s="44" t="s">
        <v>192</v>
      </c>
      <c r="E3" s="56" t="s">
        <v>199</v>
      </c>
      <c r="F3" s="57" t="s">
        <v>199</v>
      </c>
    </row>
    <row r="4" spans="1:6" x14ac:dyDescent="0.2">
      <c r="C4" s="38" t="s">
        <v>203</v>
      </c>
      <c r="D4" s="38" t="s">
        <v>206</v>
      </c>
      <c r="E4" s="8"/>
      <c r="F4" s="8"/>
    </row>
    <row r="5" spans="1:6" x14ac:dyDescent="0.2">
      <c r="A5" s="51" t="s">
        <v>163</v>
      </c>
      <c r="B5" s="51" t="s">
        <v>106</v>
      </c>
      <c r="C5" s="38" t="s">
        <v>204</v>
      </c>
      <c r="D5" s="38" t="s">
        <v>207</v>
      </c>
      <c r="E5" s="8">
        <v>20</v>
      </c>
      <c r="F5" s="8">
        <f>5/(E5/100)</f>
        <v>25</v>
      </c>
    </row>
    <row r="6" spans="1:6" x14ac:dyDescent="0.2">
      <c r="A6" s="82"/>
      <c r="B6" s="82" t="s">
        <v>218</v>
      </c>
      <c r="C6" s="83" t="s">
        <v>205</v>
      </c>
      <c r="D6" s="83" t="s">
        <v>208</v>
      </c>
      <c r="E6" s="84"/>
      <c r="F6" s="84"/>
    </row>
    <row r="7" spans="1:6" x14ac:dyDescent="0.2">
      <c r="A7" s="82"/>
      <c r="B7" s="82"/>
      <c r="C7" s="83" t="s">
        <v>226</v>
      </c>
      <c r="D7" s="83" t="s">
        <v>209</v>
      </c>
      <c r="E7" s="84"/>
      <c r="F7" s="84"/>
    </row>
    <row r="8" spans="1:6" x14ac:dyDescent="0.2">
      <c r="A8" s="82"/>
      <c r="B8" s="82"/>
      <c r="C8" s="83"/>
      <c r="D8" s="83"/>
      <c r="E8" s="84"/>
      <c r="F8" s="84"/>
    </row>
    <row r="9" spans="1:6" x14ac:dyDescent="0.2">
      <c r="A9" s="82" t="s">
        <v>164</v>
      </c>
      <c r="B9" s="81" t="s">
        <v>112</v>
      </c>
      <c r="C9" s="83" t="s">
        <v>213</v>
      </c>
      <c r="D9" s="83" t="s">
        <v>220</v>
      </c>
      <c r="E9" s="84">
        <v>23</v>
      </c>
      <c r="F9" s="85">
        <f>5/(E9/100)</f>
        <v>21.739130434782609</v>
      </c>
    </row>
    <row r="10" spans="1:6" x14ac:dyDescent="0.2">
      <c r="A10" s="82"/>
      <c r="B10" s="81" t="s">
        <v>113</v>
      </c>
      <c r="C10" s="83" t="s">
        <v>214</v>
      </c>
      <c r="D10" s="83" t="s">
        <v>217</v>
      </c>
      <c r="E10" s="84"/>
      <c r="F10" s="84"/>
    </row>
    <row r="11" spans="1:6" x14ac:dyDescent="0.2">
      <c r="A11" s="82"/>
      <c r="B11" s="81" t="s">
        <v>219</v>
      </c>
      <c r="C11" s="83"/>
      <c r="D11" s="83"/>
      <c r="E11" s="84"/>
      <c r="F11" s="84"/>
    </row>
    <row r="12" spans="1:6" x14ac:dyDescent="0.2">
      <c r="A12" s="82"/>
      <c r="B12" s="81"/>
      <c r="C12" s="83"/>
      <c r="D12" s="83"/>
      <c r="E12" s="84"/>
      <c r="F12" s="84"/>
    </row>
    <row r="13" spans="1:6" x14ac:dyDescent="0.2">
      <c r="A13" s="82" t="s">
        <v>166</v>
      </c>
      <c r="B13" s="81" t="s">
        <v>190</v>
      </c>
      <c r="C13" s="83" t="s">
        <v>215</v>
      </c>
      <c r="D13" s="83" t="s">
        <v>210</v>
      </c>
      <c r="E13" s="84">
        <v>20</v>
      </c>
      <c r="F13" s="84">
        <f>5/(E13/100)</f>
        <v>25</v>
      </c>
    </row>
    <row r="14" spans="1:6" x14ac:dyDescent="0.2">
      <c r="A14" s="82"/>
      <c r="B14" s="81" t="s">
        <v>221</v>
      </c>
      <c r="C14" s="83"/>
      <c r="D14" s="83" t="s">
        <v>211</v>
      </c>
      <c r="E14" s="84"/>
      <c r="F14" s="84"/>
    </row>
    <row r="15" spans="1:6" x14ac:dyDescent="0.2">
      <c r="A15" s="49"/>
      <c r="B15" s="52" t="s">
        <v>222</v>
      </c>
      <c r="C15" s="44"/>
      <c r="D15" s="44" t="s">
        <v>212</v>
      </c>
      <c r="E15" s="9"/>
      <c r="F15" s="9"/>
    </row>
    <row r="16" spans="1:6" x14ac:dyDescent="0.2">
      <c r="A16" s="51" t="s">
        <v>168</v>
      </c>
      <c r="B16" s="33"/>
      <c r="C16" s="49"/>
      <c r="D16" s="49"/>
      <c r="E16" s="9"/>
      <c r="F16" s="9"/>
    </row>
    <row r="17" spans="1:6" x14ac:dyDescent="0.2">
      <c r="A17" s="78" t="s">
        <v>169</v>
      </c>
      <c r="B17" s="78"/>
      <c r="C17" s="78"/>
      <c r="D17" s="78"/>
      <c r="E17" s="78"/>
      <c r="F17" s="78"/>
    </row>
    <row r="18" spans="1:6" x14ac:dyDescent="0.2">
      <c r="A18" s="53"/>
      <c r="B18" s="76" t="s">
        <v>227</v>
      </c>
      <c r="C18" s="76" t="s">
        <v>100</v>
      </c>
      <c r="D18" s="79" t="s">
        <v>127</v>
      </c>
      <c r="E18" s="54" t="s">
        <v>126</v>
      </c>
      <c r="F18" s="55" t="s">
        <v>128</v>
      </c>
    </row>
    <row r="19" spans="1:6" x14ac:dyDescent="0.2">
      <c r="A19" s="49"/>
      <c r="B19" s="77"/>
      <c r="C19" s="77"/>
      <c r="D19" s="80" t="s">
        <v>201</v>
      </c>
      <c r="E19" s="56" t="s">
        <v>127</v>
      </c>
      <c r="F19" s="57" t="s">
        <v>199</v>
      </c>
    </row>
    <row r="20" spans="1:6" x14ac:dyDescent="0.2">
      <c r="A20" s="51" t="s">
        <v>171</v>
      </c>
      <c r="B20" s="51" t="s">
        <v>123</v>
      </c>
      <c r="C20" s="38" t="s">
        <v>144</v>
      </c>
      <c r="D20" t="s">
        <v>139</v>
      </c>
      <c r="E20" s="60">
        <v>5.0999999999999996</v>
      </c>
      <c r="F20" s="61">
        <f>5*EXP(2/(E20-2))</f>
        <v>9.5314723566387816</v>
      </c>
    </row>
    <row r="21" spans="1:6" x14ac:dyDescent="0.2">
      <c r="A21" s="51"/>
      <c r="B21" s="51" t="s">
        <v>124</v>
      </c>
      <c r="C21" s="38" t="s">
        <v>145</v>
      </c>
      <c r="D21" t="s">
        <v>140</v>
      </c>
      <c r="E21" s="60"/>
      <c r="F21" s="61"/>
    </row>
    <row r="22" spans="1:6" x14ac:dyDescent="0.2">
      <c r="A22" s="51" t="s">
        <v>172</v>
      </c>
      <c r="B22" s="51" t="s">
        <v>173</v>
      </c>
      <c r="C22" s="38" t="s">
        <v>135</v>
      </c>
      <c r="D22" t="s">
        <v>139</v>
      </c>
      <c r="E22" s="60">
        <v>4.5999999999999996</v>
      </c>
      <c r="F22" s="61">
        <f>5*EXP(2/(E22-2))</f>
        <v>10.790527669742229</v>
      </c>
    </row>
    <row r="23" spans="1:6" x14ac:dyDescent="0.2">
      <c r="A23" s="51"/>
      <c r="B23" s="51" t="s">
        <v>138</v>
      </c>
      <c r="D23" t="s">
        <v>140</v>
      </c>
      <c r="E23" s="60"/>
      <c r="F23" s="61"/>
    </row>
    <row r="24" spans="1:6" x14ac:dyDescent="0.2">
      <c r="A24" s="51" t="s">
        <v>174</v>
      </c>
      <c r="B24" s="51" t="s">
        <v>175</v>
      </c>
      <c r="C24" s="38" t="s">
        <v>143</v>
      </c>
      <c r="D24" t="s">
        <v>139</v>
      </c>
      <c r="E24" s="60">
        <v>4.2</v>
      </c>
      <c r="F24" s="61">
        <f>5*EXP(2/(E24-2))</f>
        <v>12.410325423115061</v>
      </c>
    </row>
    <row r="25" spans="1:6" x14ac:dyDescent="0.2">
      <c r="A25" s="51"/>
      <c r="B25" s="51" t="s">
        <v>142</v>
      </c>
      <c r="C25" s="38" t="s">
        <v>152</v>
      </c>
      <c r="D25" t="s">
        <v>140</v>
      </c>
      <c r="E25" s="60"/>
      <c r="F25" s="61"/>
    </row>
    <row r="26" spans="1:6" x14ac:dyDescent="0.2">
      <c r="A26" s="51" t="s">
        <v>176</v>
      </c>
      <c r="B26" s="51" t="s">
        <v>177</v>
      </c>
      <c r="C26" s="38" t="s">
        <v>131</v>
      </c>
      <c r="D26" t="s">
        <v>141</v>
      </c>
      <c r="E26" s="60">
        <v>3.55</v>
      </c>
      <c r="F26" s="61">
        <f>5*EXP(2/(E26-2))</f>
        <v>18.16979305707385</v>
      </c>
    </row>
    <row r="27" spans="1:6" x14ac:dyDescent="0.2">
      <c r="A27" s="51"/>
      <c r="B27" s="51" t="s">
        <v>130</v>
      </c>
      <c r="C27" s="38" t="s">
        <v>132</v>
      </c>
      <c r="D27" t="s">
        <v>136</v>
      </c>
      <c r="E27" s="60"/>
      <c r="F27" s="61"/>
    </row>
    <row r="28" spans="1:6" x14ac:dyDescent="0.2">
      <c r="A28" s="51" t="s">
        <v>178</v>
      </c>
      <c r="B28" s="51" t="s">
        <v>179</v>
      </c>
      <c r="C28" s="38" t="s">
        <v>154</v>
      </c>
      <c r="D28" t="s">
        <v>141</v>
      </c>
      <c r="E28" s="60">
        <v>3.56</v>
      </c>
      <c r="F28" s="61">
        <f>5*EXP(2/(E28-2))</f>
        <v>18.020125100773775</v>
      </c>
    </row>
    <row r="29" spans="1:6" x14ac:dyDescent="0.2">
      <c r="A29" s="51"/>
      <c r="B29" s="51" t="s">
        <v>156</v>
      </c>
      <c r="C29" s="38" t="s">
        <v>155</v>
      </c>
      <c r="D29" t="s">
        <v>137</v>
      </c>
      <c r="E29" s="60"/>
      <c r="F29" s="61"/>
    </row>
    <row r="30" spans="1:6" x14ac:dyDescent="0.2">
      <c r="A30" s="51" t="s">
        <v>180</v>
      </c>
      <c r="B30" s="51" t="s">
        <v>181</v>
      </c>
      <c r="C30" s="38" t="s">
        <v>134</v>
      </c>
      <c r="D30" t="s">
        <v>141</v>
      </c>
      <c r="E30" s="60">
        <v>3.08</v>
      </c>
      <c r="F30" s="61">
        <f>5*EXP(2/(E30-2))</f>
        <v>31.858039389685811</v>
      </c>
    </row>
    <row r="31" spans="1:6" x14ac:dyDescent="0.2">
      <c r="A31" s="49"/>
      <c r="B31" s="49" t="s">
        <v>133</v>
      </c>
      <c r="C31" s="44" t="s">
        <v>135</v>
      </c>
      <c r="D31" s="1" t="s">
        <v>137</v>
      </c>
      <c r="E31" s="9"/>
      <c r="F31" s="57"/>
    </row>
  </sheetData>
  <mergeCells count="4">
    <mergeCell ref="A1:F1"/>
    <mergeCell ref="A17:F17"/>
    <mergeCell ref="B18:B19"/>
    <mergeCell ref="C18:C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C7D1-E55F-AF49-81BF-44DB21EA3153}">
  <dimension ref="A1:F28"/>
  <sheetViews>
    <sheetView zoomScale="115" zoomScaleNormal="115" workbookViewId="0">
      <selection activeCell="F29" sqref="F29"/>
    </sheetView>
  </sheetViews>
  <sheetFormatPr baseColWidth="10" defaultColWidth="8.6640625" defaultRowHeight="15" x14ac:dyDescent="0.2"/>
  <cols>
    <col min="1" max="1" width="14.6640625" style="38" bestFit="1" customWidth="1"/>
    <col min="2" max="2" width="19.1640625" style="38" bestFit="1" customWidth="1"/>
    <col min="3" max="3" width="36.33203125" style="38" customWidth="1"/>
    <col min="4" max="4" width="18.33203125" style="38" customWidth="1"/>
    <col min="5" max="5" width="16.1640625" style="38" bestFit="1" customWidth="1"/>
    <col min="6" max="6" width="16.5" style="38" bestFit="1" customWidth="1"/>
    <col min="7" max="16384" width="8.6640625" style="38"/>
  </cols>
  <sheetData>
    <row r="1" spans="1:6" x14ac:dyDescent="0.2">
      <c r="A1" s="64" t="s">
        <v>160</v>
      </c>
      <c r="B1" s="64"/>
      <c r="C1" s="64"/>
      <c r="D1" s="64"/>
      <c r="E1" s="64"/>
      <c r="F1" s="64"/>
    </row>
    <row r="2" spans="1:6" x14ac:dyDescent="0.2">
      <c r="A2" s="53"/>
      <c r="B2" s="76" t="s">
        <v>92</v>
      </c>
      <c r="C2" s="76" t="s">
        <v>182</v>
      </c>
      <c r="D2" s="38" t="s">
        <v>191</v>
      </c>
      <c r="E2" s="54" t="s">
        <v>96</v>
      </c>
      <c r="F2" s="55" t="s">
        <v>128</v>
      </c>
    </row>
    <row r="3" spans="1:6" x14ac:dyDescent="0.2">
      <c r="A3" s="49"/>
      <c r="B3" s="77"/>
      <c r="C3" s="77"/>
      <c r="D3" s="44" t="s">
        <v>192</v>
      </c>
      <c r="E3" s="56" t="s">
        <v>199</v>
      </c>
      <c r="F3" s="57" t="s">
        <v>199</v>
      </c>
    </row>
    <row r="4" spans="1:6" x14ac:dyDescent="0.2">
      <c r="C4" s="38" t="s">
        <v>203</v>
      </c>
      <c r="D4" s="38" t="s">
        <v>206</v>
      </c>
      <c r="E4" s="8"/>
      <c r="F4" s="8"/>
    </row>
    <row r="5" spans="1:6" x14ac:dyDescent="0.2">
      <c r="A5" s="51" t="s">
        <v>163</v>
      </c>
      <c r="B5" s="51" t="s">
        <v>106</v>
      </c>
      <c r="C5" s="38" t="s">
        <v>204</v>
      </c>
      <c r="D5" s="38" t="s">
        <v>207</v>
      </c>
      <c r="E5" s="8">
        <v>20</v>
      </c>
      <c r="F5" s="8">
        <f>5/(E5/100)</f>
        <v>25</v>
      </c>
    </row>
    <row r="6" spans="1:6" x14ac:dyDescent="0.2">
      <c r="A6" s="51"/>
      <c r="B6" s="51" t="s">
        <v>188</v>
      </c>
      <c r="C6" s="38" t="s">
        <v>205</v>
      </c>
      <c r="D6" s="38" t="s">
        <v>208</v>
      </c>
      <c r="E6" s="8"/>
      <c r="F6" s="8"/>
    </row>
    <row r="7" spans="1:6" x14ac:dyDescent="0.2">
      <c r="A7" s="51"/>
      <c r="B7" s="51"/>
      <c r="C7" s="38" t="s">
        <v>202</v>
      </c>
      <c r="D7" s="38" t="s">
        <v>209</v>
      </c>
      <c r="E7" s="8"/>
      <c r="F7" s="8"/>
    </row>
    <row r="8" spans="1:6" x14ac:dyDescent="0.2">
      <c r="A8" s="51" t="s">
        <v>164</v>
      </c>
      <c r="B8" s="50" t="s">
        <v>112</v>
      </c>
      <c r="C8" s="38" t="s">
        <v>213</v>
      </c>
      <c r="D8" s="38" t="s">
        <v>216</v>
      </c>
      <c r="E8" s="8">
        <v>23</v>
      </c>
      <c r="F8" s="62">
        <f>5/(E8/100)</f>
        <v>21.739130434782609</v>
      </c>
    </row>
    <row r="9" spans="1:6" x14ac:dyDescent="0.2">
      <c r="A9" s="51"/>
      <c r="B9" s="50" t="s">
        <v>189</v>
      </c>
      <c r="C9" s="38" t="s">
        <v>214</v>
      </c>
      <c r="D9" s="38" t="s">
        <v>217</v>
      </c>
      <c r="E9" s="8"/>
      <c r="F9" s="8"/>
    </row>
    <row r="10" spans="1:6" x14ac:dyDescent="0.2">
      <c r="A10" s="51" t="s">
        <v>166</v>
      </c>
      <c r="B10" s="50" t="s">
        <v>190</v>
      </c>
      <c r="C10" s="38" t="s">
        <v>215</v>
      </c>
      <c r="D10" s="38" t="s">
        <v>210</v>
      </c>
      <c r="E10" s="8">
        <v>20</v>
      </c>
      <c r="F10" s="8">
        <f>5/(E10/100)</f>
        <v>25</v>
      </c>
    </row>
    <row r="11" spans="1:6" x14ac:dyDescent="0.2">
      <c r="A11" s="51"/>
      <c r="B11" s="81" t="s">
        <v>95</v>
      </c>
      <c r="D11" s="38" t="s">
        <v>211</v>
      </c>
      <c r="E11" s="8"/>
      <c r="F11" s="8"/>
    </row>
    <row r="12" spans="1:6" x14ac:dyDescent="0.2">
      <c r="A12" s="49"/>
      <c r="B12" s="52"/>
      <c r="C12" s="44"/>
      <c r="D12" s="38" t="s">
        <v>212</v>
      </c>
      <c r="E12" s="9"/>
      <c r="F12" s="9"/>
    </row>
    <row r="13" spans="1:6" x14ac:dyDescent="0.2">
      <c r="A13" s="51" t="s">
        <v>168</v>
      </c>
      <c r="B13" s="58"/>
      <c r="C13" s="59"/>
      <c r="D13" s="59"/>
      <c r="E13" s="48"/>
      <c r="F13" s="48"/>
    </row>
    <row r="14" spans="1:6" x14ac:dyDescent="0.2">
      <c r="A14" s="78" t="s">
        <v>169</v>
      </c>
      <c r="B14" s="78"/>
      <c r="C14" s="78"/>
      <c r="D14" s="78"/>
      <c r="E14" s="78"/>
      <c r="F14" s="78"/>
    </row>
    <row r="15" spans="1:6" x14ac:dyDescent="0.2">
      <c r="A15" s="53"/>
      <c r="B15" s="76" t="s">
        <v>92</v>
      </c>
      <c r="C15" s="79" t="s">
        <v>200</v>
      </c>
      <c r="D15" s="76" t="s">
        <v>100</v>
      </c>
      <c r="E15" s="54" t="s">
        <v>126</v>
      </c>
      <c r="F15" s="55" t="s">
        <v>128</v>
      </c>
    </row>
    <row r="16" spans="1:6" x14ac:dyDescent="0.2">
      <c r="A16" s="49"/>
      <c r="B16" s="77"/>
      <c r="C16" s="80" t="s">
        <v>201</v>
      </c>
      <c r="D16" s="77"/>
      <c r="E16" s="56" t="s">
        <v>127</v>
      </c>
      <c r="F16" s="57" t="s">
        <v>199</v>
      </c>
    </row>
    <row r="17" spans="1:6" x14ac:dyDescent="0.2">
      <c r="A17" s="51" t="s">
        <v>171</v>
      </c>
      <c r="B17" s="51" t="s">
        <v>123</v>
      </c>
      <c r="C17" t="s">
        <v>139</v>
      </c>
      <c r="D17" s="38" t="s">
        <v>144</v>
      </c>
      <c r="E17" s="60">
        <v>5.0999999999999996</v>
      </c>
      <c r="F17" s="61">
        <f>5*EXP(2/(E17-2))</f>
        <v>9.5314723566387816</v>
      </c>
    </row>
    <row r="18" spans="1:6" x14ac:dyDescent="0.2">
      <c r="A18" s="51"/>
      <c r="B18" s="51" t="s">
        <v>124</v>
      </c>
      <c r="C18" t="s">
        <v>140</v>
      </c>
      <c r="D18" s="38" t="s">
        <v>145</v>
      </c>
      <c r="E18" s="60"/>
      <c r="F18" s="61"/>
    </row>
    <row r="19" spans="1:6" x14ac:dyDescent="0.2">
      <c r="A19" s="51" t="s">
        <v>172</v>
      </c>
      <c r="B19" s="51" t="s">
        <v>173</v>
      </c>
      <c r="C19" t="s">
        <v>139</v>
      </c>
      <c r="D19" s="38" t="s">
        <v>135</v>
      </c>
      <c r="E19" s="60">
        <v>4.5999999999999996</v>
      </c>
      <c r="F19" s="61">
        <f>5*EXP(2/(E19-2))</f>
        <v>10.790527669742229</v>
      </c>
    </row>
    <row r="20" spans="1:6" x14ac:dyDescent="0.2">
      <c r="A20" s="51"/>
      <c r="B20" s="51" t="s">
        <v>138</v>
      </c>
      <c r="C20" t="s">
        <v>140</v>
      </c>
      <c r="E20" s="60"/>
      <c r="F20" s="61"/>
    </row>
    <row r="21" spans="1:6" x14ac:dyDescent="0.2">
      <c r="A21" s="51" t="s">
        <v>174</v>
      </c>
      <c r="B21" s="51" t="s">
        <v>175</v>
      </c>
      <c r="C21" t="s">
        <v>139</v>
      </c>
      <c r="D21" s="38" t="s">
        <v>143</v>
      </c>
      <c r="E21" s="60">
        <v>4.2</v>
      </c>
      <c r="F21" s="61">
        <f>5*EXP(2/(E21-2))</f>
        <v>12.410325423115061</v>
      </c>
    </row>
    <row r="22" spans="1:6" x14ac:dyDescent="0.2">
      <c r="A22" s="51"/>
      <c r="B22" s="51" t="s">
        <v>142</v>
      </c>
      <c r="C22" t="s">
        <v>140</v>
      </c>
      <c r="D22" s="38" t="s">
        <v>152</v>
      </c>
      <c r="E22" s="60"/>
      <c r="F22" s="61"/>
    </row>
    <row r="23" spans="1:6" x14ac:dyDescent="0.2">
      <c r="A23" s="51" t="s">
        <v>176</v>
      </c>
      <c r="B23" s="51" t="s">
        <v>177</v>
      </c>
      <c r="C23" t="s">
        <v>141</v>
      </c>
      <c r="D23" s="38" t="s">
        <v>131</v>
      </c>
      <c r="E23" s="60">
        <v>3.55</v>
      </c>
      <c r="F23" s="61">
        <f>5*EXP(2/(E23-2))</f>
        <v>18.16979305707385</v>
      </c>
    </row>
    <row r="24" spans="1:6" x14ac:dyDescent="0.2">
      <c r="A24" s="51"/>
      <c r="B24" s="51" t="s">
        <v>130</v>
      </c>
      <c r="C24" t="s">
        <v>136</v>
      </c>
      <c r="D24" s="38" t="s">
        <v>132</v>
      </c>
      <c r="E24" s="60"/>
      <c r="F24" s="61"/>
    </row>
    <row r="25" spans="1:6" x14ac:dyDescent="0.2">
      <c r="A25" s="51" t="s">
        <v>178</v>
      </c>
      <c r="B25" s="51" t="s">
        <v>179</v>
      </c>
      <c r="C25" t="s">
        <v>141</v>
      </c>
      <c r="D25" s="38" t="s">
        <v>154</v>
      </c>
      <c r="E25" s="60">
        <v>3.56</v>
      </c>
      <c r="F25" s="61">
        <f>5*EXP(2/(E25-2))</f>
        <v>18.020125100773775</v>
      </c>
    </row>
    <row r="26" spans="1:6" x14ac:dyDescent="0.2">
      <c r="A26" s="51"/>
      <c r="B26" s="51" t="s">
        <v>156</v>
      </c>
      <c r="C26" t="s">
        <v>137</v>
      </c>
      <c r="D26" s="38" t="s">
        <v>155</v>
      </c>
      <c r="E26" s="60"/>
      <c r="F26" s="61"/>
    </row>
    <row r="27" spans="1:6" x14ac:dyDescent="0.2">
      <c r="A27" s="51" t="s">
        <v>180</v>
      </c>
      <c r="B27" s="51" t="s">
        <v>181</v>
      </c>
      <c r="C27" t="s">
        <v>141</v>
      </c>
      <c r="D27" s="38" t="s">
        <v>134</v>
      </c>
      <c r="E27" s="60">
        <v>3.08</v>
      </c>
      <c r="F27" s="61">
        <f>5*EXP(2/(E27-2))</f>
        <v>31.858039389685811</v>
      </c>
    </row>
    <row r="28" spans="1:6" x14ac:dyDescent="0.2">
      <c r="A28" s="49"/>
      <c r="B28" s="49" t="s">
        <v>133</v>
      </c>
      <c r="C28" s="1" t="s">
        <v>137</v>
      </c>
      <c r="D28" s="44" t="s">
        <v>135</v>
      </c>
      <c r="E28" s="9"/>
      <c r="F28" s="57"/>
    </row>
  </sheetData>
  <mergeCells count="6">
    <mergeCell ref="A1:F1"/>
    <mergeCell ref="B2:B3"/>
    <mergeCell ref="C2:C3"/>
    <mergeCell ref="A14:F14"/>
    <mergeCell ref="B15:B16"/>
    <mergeCell ref="D15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sim-dm</vt:lpstr>
      <vt:lpstr>sim-extrap</vt:lpstr>
      <vt:lpstr>sim-extrap-alt</vt:lpstr>
      <vt:lpstr>post-truth old</vt:lpstr>
      <vt:lpstr>truth-table</vt:lpstr>
      <vt:lpstr>plugin-dm</vt:lpstr>
      <vt:lpstr>plugin-extrap</vt:lpstr>
      <vt:lpstr>ez-combined-old</vt:lpstr>
      <vt:lpstr>Excel2LaTeX</vt:lpstr>
      <vt:lpstr>ez-combined</vt:lpstr>
      <vt:lpstr>ez-combined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Chen</dc:creator>
  <cp:lastModifiedBy>Andrew Chen</cp:lastModifiedBy>
  <dcterms:created xsi:type="dcterms:W3CDTF">2015-06-05T18:17:20Z</dcterms:created>
  <dcterms:modified xsi:type="dcterms:W3CDTF">2025-09-29T18:11:31Z</dcterms:modified>
</cp:coreProperties>
</file>